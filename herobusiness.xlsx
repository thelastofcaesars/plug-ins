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liczenia" state="visible" r:id="rId4"/>
    <sheet sheetId="2" name="budynki_awers" state="visible" r:id="rId5"/>
    <sheet sheetId="3" name="budynki_rewers" state="visible" r:id="rId6"/>
    <sheet sheetId="4" name="budynki_woda" state="visible" r:id="rId7"/>
    <sheet sheetId="5" name="budynki_podziemie" state="visible" r:id="rId8"/>
    <sheet sheetId="6" name="Pandora" state="visible" r:id="rId9"/>
    <sheet sheetId="7" name="RNG" state="visible" r:id="rId10"/>
    <sheet sheetId="8" name="Chatka Proroka" state="visible" r:id="rId11"/>
    <sheet sheetId="9" name="Artefakty" state="visible" r:id="rId12"/>
    <sheet sheetId="10" name="Tygodnie" state="visible" r:id="rId13"/>
    <sheet sheetId="11" name="BG City" state="visible" r:id="rId14"/>
    <sheet sheetId="12" name="GLOBAL" state="visible" r:id="rId15"/>
  </sheets>
  <calcPr calcId="171027"/>
</workbook>
</file>

<file path=xl/sharedStrings.xml><?xml version="1.0" encoding="utf-8"?>
<sst xmlns="http://schemas.openxmlformats.org/spreadsheetml/2006/main" count="1992" uniqueCount="247">
  <si>
    <t>wysokość</t>
  </si>
  <si>
    <t>szerokość</t>
  </si>
  <si>
    <t>długość</t>
  </si>
  <si>
    <t>objętość</t>
  </si>
  <si>
    <r>
      <rPr>
        <u/>
        <color rgb="FF1155CC"/>
      </rPr>
      <t>pomysły - Google Docs</t>
    </r>
  </si>
  <si>
    <t>c m</t>
  </si>
  <si>
    <t>grubość</t>
  </si>
  <si>
    <t>sztuk</t>
  </si>
  <si>
    <t>wys pudełka</t>
  </si>
  <si>
    <t>objętość cm3</t>
  </si>
  <si>
    <t>stacki</t>
  </si>
  <si>
    <t>typ</t>
  </si>
  <si>
    <t>iilość</t>
  </si>
  <si>
    <t>kostki</t>
  </si>
  <si>
    <t>karty szans</t>
  </si>
  <si>
    <t>karty miast</t>
  </si>
  <si>
    <t>kapsle miasta</t>
  </si>
  <si>
    <t>plansza</t>
  </si>
  <si>
    <t>srodek</t>
  </si>
  <si>
    <t>figurki</t>
  </si>
  <si>
    <t>hajs</t>
  </si>
  <si>
    <t>pudełko</t>
  </si>
  <si>
    <t>left</t>
  </si>
  <si>
    <t>pozycja_karty</t>
  </si>
  <si>
    <t>tytul</t>
  </si>
  <si>
    <t>dodatek</t>
  </si>
  <si>
    <t>nazwa</t>
  </si>
  <si>
    <t>opis_zakup</t>
  </si>
  <si>
    <t>cena_zakupu</t>
  </si>
  <si>
    <t>postoj_niezabudowany</t>
  </si>
  <si>
    <t>postoj_osada</t>
  </si>
  <si>
    <t>postoj_miasto</t>
  </si>
  <si>
    <t>postoj_ratusz</t>
  </si>
  <si>
    <t>postoj_kapitol</t>
  </si>
  <si>
    <t>stopka</t>
  </si>
  <si>
    <t>kolor_hex</t>
  </si>
  <si>
    <t>plik_tlo</t>
  </si>
  <si>
    <t>plik_ramka</t>
  </si>
  <si>
    <t>plik_ramka_color</t>
  </si>
  <si>
    <t>plik_obiekt</t>
  </si>
  <si>
    <t>plik_mini_tlo</t>
  </si>
  <si>
    <t>plik_ramka_mini</t>
  </si>
  <si>
    <t>plik_ramka_mini_color</t>
  </si>
  <si>
    <t>plik_gold</t>
  </si>
  <si>
    <t>02</t>
  </si>
  <si>
    <t>AKT WŁASNOŚCI</t>
  </si>
  <si>
    <t>basic</t>
  </si>
  <si>
    <t>DOLERE</t>
  </si>
  <si>
    <t xml:space="preserve">Cena zakupu
Opłata za  postój:
- teren niezabudowany
- teren z radą osady
- teren z radą miasta
- teren z ratuszem
- teren z kapitolem</t>
  </si>
  <si>
    <t xml:space="preserve">jeśli gracz posiada wszystkie miasta
w tej krainie i są one niezabudowane
to opłata jest podwójna</t>
  </si>
  <si>
    <t>H:\herobusiness\bg.png</t>
  </si>
  <si>
    <t>H:\herobusiness\ramka.png</t>
  </si>
  <si>
    <t>H:\herobusiness\ramka_color.png</t>
  </si>
  <si>
    <t>H:\herobusiness\obiekt_ph.png</t>
  </si>
  <si>
    <t>H:\herobusiness\mini_tlo.png</t>
  </si>
  <si>
    <t>H:\herobusiness\ramka_mini.png</t>
  </si>
  <si>
    <t>H:\herobusiness\ramka_mini_color.png</t>
  </si>
  <si>
    <t>04</t>
  </si>
  <si>
    <t>KRUBER</t>
  </si>
  <si>
    <t>H:\herobusiness\gold.png</t>
  </si>
  <si>
    <t>06</t>
  </si>
  <si>
    <t>PODZIEMIA POŁUDNIOWE</t>
  </si>
  <si>
    <t xml:space="preserve">Cena zakupu
Opłata za  postój:
- 1 przejście
- 2 przejścia
- 3 przejścia
- 4 przejścia
- 5 przejść</t>
  </si>
  <si>
    <t>07</t>
  </si>
  <si>
    <t>CANDENT</t>
  </si>
  <si>
    <t>09</t>
  </si>
  <si>
    <t>ABADDON</t>
  </si>
  <si>
    <t>GEHENNA</t>
  </si>
  <si>
    <t>MOSSDEN</t>
  </si>
  <si>
    <t>KOPALNIA KAMIENIA</t>
  </si>
  <si>
    <t xml:space="preserve">Cena zakupu
Opłata za  postój:
ilość wyrzuconych oczek *
- 1 kopalnia
- 2 kopalnie
- 3 kopalnie</t>
  </si>
  <si>
    <t>DRAKENMOOR</t>
  </si>
  <si>
    <t>PODZIEMIA ZACHODNIE</t>
  </si>
  <si>
    <t>KILDARE</t>
  </si>
  <si>
    <t>DUNWALL</t>
  </si>
  <si>
    <t>STEADWICK</t>
  </si>
  <si>
    <t>STILL WATER</t>
  </si>
  <si>
    <t>WILLOWGLEN</t>
  </si>
  <si>
    <t>PIERPOINT</t>
  </si>
  <si>
    <t>PODZIEMIA PÓŁNOCNE</t>
  </si>
  <si>
    <t>LEWINDALE</t>
  </si>
  <si>
    <t>BROWN'S BAY</t>
  </si>
  <si>
    <t>ODKRYWKA SIARKI</t>
  </si>
  <si>
    <t>ROTUNDA</t>
  </si>
  <si>
    <t>CELESTE</t>
  </si>
  <si>
    <t>SPYRE</t>
  </si>
  <si>
    <t>MROŹNE PODZIEMIA</t>
  </si>
  <si>
    <t>CHILLWATER</t>
  </si>
  <si>
    <t>MALEV</t>
  </si>
  <si>
    <t>VEKS</t>
  </si>
  <si>
    <t>VENTU</t>
  </si>
  <si>
    <t>KRYSZTAŁOWA GROTA</t>
  </si>
  <si>
    <t>SOLIUM</t>
  </si>
  <si>
    <t>PODZIEMIA WSCHODNIE</t>
  </si>
  <si>
    <t>AGONY</t>
  </si>
  <si>
    <t>SHADOWKEEP</t>
  </si>
  <si>
    <t>strona</t>
  </si>
  <si>
    <t>obciazenie</t>
  </si>
  <si>
    <t>opis</t>
  </si>
  <si>
    <t>koszt1_nazwa</t>
  </si>
  <si>
    <t>koszt1_wartosc</t>
  </si>
  <si>
    <t>koszt2_nazwa</t>
  </si>
  <si>
    <t>koszt2_wartosc</t>
  </si>
  <si>
    <t>KARTA HIPOTECZNA</t>
  </si>
  <si>
    <t>ta karta musi być tak odwrócona|jeżeli posiadłość|jest zastawiona</t>
  </si>
  <si>
    <t>rozbudowa kosztuje</t>
  </si>
  <si>
    <t>kapitol kosztuje</t>
  </si>
  <si>
    <t>można dokonać tylko 1 rozbudowy na turę|można wybudować tylko|1 kapitol w jednym państwie</t>
  </si>
  <si>
    <t>TIRITH</t>
  </si>
  <si>
    <t>SHADOW KEEP</t>
  </si>
  <si>
    <t>kolor</t>
  </si>
  <si>
    <t>plik_lokacja</t>
  </si>
  <si>
    <t>WODA</t>
  </si>
  <si>
    <t>PODZIEMIE</t>
  </si>
  <si>
    <t>nr_karty</t>
  </si>
  <si>
    <t>opis_karty</t>
  </si>
  <si>
    <t>typ_karty</t>
  </si>
  <si>
    <t>cena</t>
  </si>
  <si>
    <t>plik_lokacja_item</t>
  </si>
  <si>
    <t>plik_lbot_typ_karty</t>
  </si>
  <si>
    <t>plik_rbot_typ_karty</t>
  </si>
  <si>
    <t>plik_bg</t>
  </si>
  <si>
    <t>plik_bg_rewers</t>
  </si>
  <si>
    <t>plik_typ_karty_tlo</t>
  </si>
  <si>
    <t>Tu nic nie ma!</t>
  </si>
  <si>
    <t>pandora</t>
  </si>
  <si>
    <t>H:\herobusiness\pandorka\ramka.png</t>
  </si>
  <si>
    <t>H:\herobusiness\pandorka\ramka_color.png</t>
  </si>
  <si>
    <t>https://h3mods.heroes.net.pl/uploaded/HotA/Locations/shrine1.png</t>
  </si>
  <si>
    <t>H:\herobusiness\pandorka\lbot_img.png</t>
  </si>
  <si>
    <t>H:\herobusiness\pandorka\rbot_img.png</t>
  </si>
  <si>
    <t>H:\herobusiness\pandorka\bg.png</t>
  </si>
  <si>
    <t>H:\herobusiness\pandorka\img_mid_mid.png</t>
  </si>
  <si>
    <t xml:space="preserve">W starej skrzyni w wieży
znalazłeś akt własności miasta.
Otrzymujesz losowe niezajęte
miasto lub 500'r.</t>
  </si>
  <si>
    <t>H:\herobusiness\pandorka\obiekt_ph.png</t>
  </si>
  <si>
    <t xml:space="preserve">Złapali Cię erathiańscy magowie!
Zostałeś teleportowany do więzienia.
._ (nie zaczynasz Nowego Tygodnia)</t>
  </si>
  <si>
    <t>H:\herobusiness\pandorka\img_mid.png</t>
  </si>
  <si>
    <t xml:space="preserve">Kupiłeś wróżbę ubezpieczeniową.
Płacisz wiedźmie 20 .</t>
  </si>
  <si>
    <t xml:space="preserve">Otrzymujesz roczny żołd
w wysokości 2007,</t>
  </si>
  <si>
    <t xml:space="preserve">Otrzymujesz zwrot nadpłaconego
podatku pogłównego: 40 .</t>
  </si>
  <si>
    <t xml:space="preserve">Znalazłeś skrzynie ze skarbem!
Sprzedajesz zawartość na
rynku za 300'r.</t>
  </si>
  <si>
    <t xml:space="preserve">Masz urodziny, od każdego
gracza otrzymujesz 20'r.</t>
  </si>
  <si>
    <t xml:space="preserve">Płacisz za wzniesienie
namiotu medyka 400 .</t>
  </si>
  <si>
    <t xml:space="preserve">W pudełku znalazłeś cenny wisiorek.
Sprzedajesz go na bazarze za 200'r.</t>
  </si>
  <si>
    <t xml:space="preserve">Skarbiec wyplaca Ci procenty
w wysokości 1007,</t>
  </si>
  <si>
    <t xml:space="preserve">Wychodzisz wolny z więzienia.
(kartę zachowaj lub sprzedaj)</t>
  </si>
  <si>
    <t xml:space="preserve">Skarbiec wypłaca Ci należne
10% odsetek od kapitału.
Otrzymujesz 50's.</t>
  </si>
  <si>
    <t xml:space="preserve">@e
Napotkałeś siwego staruszka
o dziwnym imieniu, który
podarował ci magiczny zwój.
Otrzymujesz losowe zaklęcie.
14</t>
  </si>
  <si>
    <t xml:space="preserve">Z magazynu, w którym
kupujesz otrzymujesz zwrot
w wysokości 20'r.</t>
  </si>
  <si>
    <t xml:space="preserve">Z kufra wyskakuje nagle dzin
i proponuje Ci ulepszenie dowolnego
twojego miasta o 1 poziom.</t>
  </si>
  <si>
    <t>tekst</t>
  </si>
  <si>
    <t xml:space="preserve">BY
gx |
Skarbiec omylił się
na Twoją korzysc.
Otrzymujesz 400 .</t>
  </si>
  <si>
    <t xml:space="preserve">Piłeś rum w czasie pracy,
płacisz karę 40'r.</t>
  </si>
  <si>
    <t xml:space="preserve">%WV)_›)—Q.W?%
Rozwiązałeś dobrze
krzyżówkę. Jako pierwszą
nagrodę otrzymujesz 200 .
g0 B
s
y
4
%&amp;L›'O—C'(_S&amp;</t>
  </si>
  <si>
    <t>Cofasz się o 3 pola.</t>
  </si>
  <si>
    <t xml:space="preserve">N
&lt;
Przejeżdżając przez most
napadły Cię trolle.
Placisz myto w wysokosci 30 .
20 B</t>
  </si>
  <si>
    <t xml:space="preserve">Zająłeś II miejsce w konkursie
Mister Heroes, otrzymujesz
ze skarbca 200'%.</t>
  </si>
  <si>
    <t xml:space="preserve">Płacisz opłatę za uniwersytet 400'r.
8O
„
c'zjś
G</t>
  </si>
  <si>
    <t xml:space="preserve">Twoje wojska maja dzis
wysokie morale.
Wykonujesz dodatkowy ruch.
s
y
9
%&amp;L›'O—C'(_S&amp;</t>
  </si>
  <si>
    <t xml:space="preserve">%WT)_›) © .(77?—;%
"
Zauroczyły Cię rusałki.
Nim się zorientowałeś, opłaciłeś
nocleg w tawernie na kolejny dzień.
R Tracisz turę. so
„ „
10
s
y
Ę'QA[Ą")—C'(_X&amp;</t>
  </si>
  <si>
    <t xml:space="preserve">se
Ruszasz się o 2 pola do przodu.
8O
„</t>
  </si>
  <si>
    <t xml:space="preserve">%WT)_›! E WTI D I K / PO JY A | — DRV KY e CI 14.('7?!%
o
zmodernizować swoje miasto,
placisz do skarbea za kazdy dom 80,
R za każdą tawernę 230'r. ,
- -
)
(e
| Zobowiązany jestes
Ę 12 (
!ZA[)")—("(_X&amp;</t>
  </si>
  <si>
    <t xml:space="preserve">Remontujesz swoje domy.
Placisz do skarbeca za kazdy dom
507, za każdą tawernę 200'r.</t>
  </si>
  <si>
    <t xml:space="preserve">Ukazał Ci się Jarmark Wspaniałości.
Mozesz kupic dowolny artefakt lub
zaklecie ze znizka 50%.
n</t>
  </si>
  <si>
    <t xml:space="preserve">PPee
Komunalny magiczny staw
w tym tygodniu zabrał Ci
zasoby o wartości 100 7.
50 £
„
-
15
?&amp;AZ_&amp;"@ —cnś_ś</t>
  </si>
  <si>
    <t xml:space="preserve">Według jasnowidza
podążasz złą ścieżką.
Wracasz do Mossdenu.</t>
  </si>
  <si>
    <t xml:space="preserve">Płacisz za karę 20%: lub
ciągniesz szansę z zestawu
puszek pandory.</t>
  </si>
  <si>
    <t xml:space="preserve">Magowie czekali na Ciebie u proroka.
Zostałeś teleportowany do więzienia.
(nie zaczynasz Tygodnia) *
ż(h
k</t>
  </si>
  <si>
    <t xml:space="preserve">Prorok wysłał Cię do Candentu.
Jeśli rozpoczynasz nowy
p zień otrzymujesz 400'7. _ -
e
E
4</t>
  </si>
  <si>
    <t xml:space="preserve">2
m
r
3
Prorok kieruje Cie do Brown's Bay.
Jezeli zaczynasz nowy Tydzien
otrzymujesz 400'r.</t>
  </si>
  <si>
    <t xml:space="preserve">Prorok podaruje Ci
2007 jeżeli posiadasz
% ? akt własności Chillwater. — ke |
e
E</t>
  </si>
  <si>
    <t xml:space="preserve">Prorok szepcze Ci na ucho:
Straciłeś wszelkie zapiski z podróży!
: ?Wracasz na początek Tygodnia. % '
7</t>
  </si>
  <si>
    <t xml:space="preserve">Prorokowi spodobały się Twoje
artefakty. Masz mozliwosc
sprzedania jednego z nich
za dwukrotność jego ceny. ;&amp;‘ﬁ
"a4
"</t>
  </si>
  <si>
    <t xml:space="preserve">@e
Jeżeli posiadasz akt własności
Tirith Prorok pozwala Ci
zabrać losowe zaklęcie. p |</t>
  </si>
  <si>
    <t xml:space="preserve">j x
{Bs.oC
) =7% .
W drodze do Proroka zabłądziłeś
do PODZIEMI WSCHODNICH.
Jeżeli rozpoczynasz nowy
;?i;; Tydzień otrzymujesz 400's. Ś›#Ż›
AE
10</t>
  </si>
  <si>
    <t xml:space="preserve">Prorok naglepada w trans
i przepowiada bliską przyszłość.
Możesz wybrać kartę
kolejnego Tygodnia.
11</t>
  </si>
  <si>
    <t xml:space="preserve">Wychodzisz wolny z więzienia.
. (kartę zachowaj lub sprzedaj) %</t>
  </si>
  <si>
    <t xml:space="preserve">!
i
il
k
Prorok daje Ci list do arcymaga
z Bracady. Jeśli zaniesiesz go
do końca następnego Tygodnia,
W8  otrzymasz losową nagrode. 88:
o
ś( _
k
e A
13</t>
  </si>
  <si>
    <t xml:space="preserve">Koło chaty proroka zagaduje Cię
tajemnicza postać w kapturze
i obiecuje nagrodę za przedmiot: Y
sA Hełm Czaszki %
i :
14</t>
  </si>
  <si>
    <t xml:space="preserve">Prorok wręcza Ci księgę z czarami
ognia. Dotrzyj do Tatalii, a
tam Adrienne wynagrodzi Cię
: za nie złotem 300'r. Ą
15</t>
  </si>
  <si>
    <t xml:space="preserve">Prorok miał wizję, dzięki której
możesz zapobiec jednemu
wydarzeniu. Usuń jedną wybraną
kartę z talii RNG.
16</t>
  </si>
  <si>
    <t xml:space="preserve">Mozesz ruszyec sie do przodu
o *(1/2 * liczba oczek) więcej
pól w obecnej turze.</t>
  </si>
  <si>
    <t xml:space="preserve">Skocz do doweolnego pola
odleglego od Ciebie
o maksymalnie 3 kratki.</t>
  </si>
  <si>
    <t xml:space="preserve">A
¢ S
Teleportuj sie do twojego
najblizszego miasta.
(następne miasto w razie remisu)</t>
  </si>
  <si>
    <t xml:space="preserve">Ź
FES
RS
Rzuć na siebie lub dowolnego gracza
Przyśpieszenie na ? tury dające
dodatkowe 3 punkty ruchu.
s</t>
  </si>
  <si>
    <t xml:space="preserve">Rzuć na siebie lub dowolnego gracza
Spowolnienie na 2 tury
zabierające 2 punkty ruchu.
s</t>
  </si>
  <si>
    <t xml:space="preserve">&gt;
)
Hipnotyzujesz dowolnego gracza.
Gracz ten traci turę.</t>
  </si>
  <si>
    <t xml:space="preserve">Teleportuj siebie lub
dowolnego gracza o 1 pole.
(wstecz lub wprzod)</t>
  </si>
  <si>
    <t xml:space="preserve">Wskazujesz gracza, który,
ma przekazać 300
na cele charytatywne.</t>
  </si>
  <si>
    <t xml:space="preserve">Twoje punkty ruchu
zwiększają się na stałe o 2.
Cena: 700</t>
  </si>
  <si>
    <t xml:space="preserve">—
=
Twoje punkty ruchu
zwiększają się na stałe o 3.
Cena: 1000</t>
  </si>
  <si>
    <t xml:space="preserve">Ś:
Bohater może latac.
Koszt postoju zmniejszony o połowę.
Cena: 2000
s</t>
  </si>
  <si>
    <t xml:space="preserve">Chroni przed zahipnotyzowaniem.
Cena: 300
s</t>
  </si>
  <si>
    <t xml:space="preserve">Zwiększa twoje zasoby
o 50’7 dziennie.
Cena: 500</t>
  </si>
  <si>
    <t xml:space="preserve">_
\,'/
Przedłuża działanie zaklęć o 1 ture.
Cena: 500"
s</t>
  </si>
  <si>
    <t xml:space="preserve">L~ Q
&lt;7
Wysyłasz dowolnego gracza
do więzienia.
Cena: 1500</t>
  </si>
  <si>
    <t xml:space="preserve">Astrologowie oglaszaja tydzien plagi!
Kazdy gracz ptaci 157 do
skarbca za kazdy postój.</t>
  </si>
  <si>
    <t xml:space="preserve">Astrologowie ogłaszają tydzień
chciwego krasnoluda!
Wszystkie ceny wzrastają o 207. _</t>
  </si>
  <si>
    <t xml:space="preserve">Astrologowie ogłaszają tydzień
pijanego krasnoluda!
Wszystkie ceny spadają o 30's. — _</t>
  </si>
  <si>
    <t xml:space="preserve">Astrologowie oglaszaja tydzien demolki!
Kazdy gracz remontuje codziennie swoje
siedliska za 5% i tawerny za 25'n. _</t>
  </si>
  <si>
    <t xml:space="preserve">Astrologowie ogłaszają tydzień rzeźnika!
Kazdego dnia losowy gracz traci
1 poziom w pierwszym mieście. _</t>
  </si>
  <si>
    <t xml:space="preserve">Astrologowie ogłaszają tydzień
wysokiego morale!
Kazdy gracz ma podwojny ruch.</t>
  </si>
  <si>
    <t xml:space="preserve">Astrologowie ogłaszają tydzień
niskiego morale!
_ Kazdy ruch jest mniejszy o 1 pole. _</t>
  </si>
  <si>
    <t xml:space="preserve">Astrologowie ogłasz::tją tydzień diablika!
Losowe miasta zajmują chochliki.
ż Można się ich pozbyć za 20'%. :
</t>
  </si>
  <si>
    <t xml:space="preserve">Astrologowie ogłaszają tydzień
pustych więzień!
_  Nie mozna trafić do więzienia. _</t>
  </si>
  <si>
    <t xml:space="preserve">Astrologowie ogłaszają tydzień portalów!
Losowany jest dodatek i zamieniane
są pola podziemi na portale.</t>
  </si>
  <si>
    <t xml:space="preserve">Astrologowie ogłaszają tydzień
magii i czarodziejstwa!
Każdego dnia ktoś dostaje czar. _
_-3:</t>
  </si>
  <si>
    <t xml:space="preserve">S
Astrologowie ogłaszają tydzień pokoju!
Postoje są bezpłatne
i nie ma kar.</t>
  </si>
  <si>
    <t xml:space="preserve">Astrologowie ogłaszają
tydzień dobrobytu!
ż Każdy otrzymuje dodatkowe 200 . :</t>
  </si>
  <si>
    <t xml:space="preserve">Astrologowie ogłaszają tydzień biedaków! |
Codziennie gracz z najmniejszą ilością
*
zasobów otrzymuje 300 .</t>
  </si>
  <si>
    <t xml:space="preserve">Astrologowie oglaszaja tydzien psot!
Gracze złapali dziwną chorobę przez co
koszt postoju wzrasta o 30 .</t>
  </si>
  <si>
    <t xml:space="preserve">Astrologowie ogłaszają tydzień ulgi!
Nic się nie dzieje...
Ą A może to cisza przed burza? A
16</t>
  </si>
  <si>
    <t>typ_typu</t>
  </si>
  <si>
    <t>CITY_BG</t>
  </si>
  <si>
    <t>INNER_R</t>
  </si>
  <si>
    <t>STRONGHOLD</t>
  </si>
  <si>
    <t>INNER_L</t>
  </si>
  <si>
    <t>INFERNO</t>
  </si>
  <si>
    <t>FORTRESS</t>
  </si>
  <si>
    <t>CASTLE</t>
  </si>
  <si>
    <t>BASTION</t>
  </si>
  <si>
    <t>COVE</t>
  </si>
  <si>
    <t>TOWER</t>
  </si>
  <si>
    <t>DUNGEON</t>
  </si>
  <si>
    <t>CONFLUX</t>
  </si>
  <si>
    <t>NECROPOLIS</t>
  </si>
  <si>
    <t>CITY_GRALL</t>
  </si>
  <si>
    <t>OUTER_R</t>
  </si>
  <si>
    <t>OUTER_L</t>
  </si>
  <si>
    <t>terrain_type</t>
  </si>
  <si>
    <t>nazwa_koloru</t>
  </si>
  <si>
    <t>plik_terrain</t>
  </si>
  <si>
    <t>NEUTRAL</t>
  </si>
  <si>
    <t>white</t>
  </si>
  <si>
    <t>red</t>
  </si>
  <si>
    <t>blue</t>
  </si>
  <si>
    <t>beige</t>
  </si>
  <si>
    <t>green</t>
  </si>
  <si>
    <t>orange</t>
  </si>
  <si>
    <t>purple</t>
  </si>
  <si>
    <t>turquise</t>
  </si>
  <si>
    <t>rose</t>
  </si>
  <si>
    <t>lime</t>
  </si>
  <si>
    <t>gray</t>
  </si>
  <si>
    <t>UNDERGROUND</t>
  </si>
  <si>
    <t>WATER</t>
  </si>
  <si>
    <t>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</si>
</sst>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name val="Arial"/>
    </font>
    <font>
      <u/>
      <color rgb="FF0000FF"/>
    </font>
    <font>
      <color rgb="FF2C3E50"/>
      <sz val="12"/>
      <name val="Times New Roman"/>
    </font>
    <font>
      <color rgb="FF2C3E50"/>
      <sz val="12"/>
      <name val="Arial"/>
    </font>
    <font>
      <u/>
      <color rgb="FF0000FF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/>
    <xf numFmtId="0" fontId="2" fillId="2" borderId="0" xfId="0" applyFont="1" applyFill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135713</xdr:colOff>
      <xdr:row>2</xdr:row>
      <xdr:rowOff>104770</xdr:rowOff>
    </xdr:from>
    <xdr:ext cx="4876800" cy="3971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document/d/1h4MTC80P3f0gx5ZWvmDgAFrALGqNPDynxYXp04LfFv4/edit?tab=t.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13.571428571428571" customWidth="1"/>
    <col min="2" max="2" width="11.571428571428571" customWidth="1"/>
    <col min="3" max="24" width="13.571428571428571" customWidth="1"/>
  </cols>
  <sheetData>
    <row r="1" spans="7:10" x14ac:dyDescent="0.25"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5">
      <c r="A2" s="2" t="s">
        <v>4</v>
      </c>
      <c r="G2" s="1">
        <v>7</v>
      </c>
      <c r="H2" s="1">
        <v>30</v>
      </c>
      <c r="I2" s="1">
        <v>30</v>
      </c>
      <c r="J2" s="1">
        <f>PRODUCT(G2:I2)</f>
      </c>
    </row>
    <row r="4" spans="1:1" x14ac:dyDescent="0.25">
      <c r="A4" s="1" t="s">
        <v>5</v>
      </c>
    </row>
    <row r="5" spans="2:7" x14ac:dyDescent="0.25">
      <c r="B5" s="1" t="s">
        <v>6</v>
      </c>
      <c r="C5" s="1" t="s">
        <v>1</v>
      </c>
      <c r="D5" s="1" t="s">
        <v>2</v>
      </c>
      <c r="E5" s="1" t="s">
        <v>7</v>
      </c>
      <c r="F5" s="1" t="s">
        <v>8</v>
      </c>
      <c r="G5" s="1" t="s">
        <v>9</v>
      </c>
    </row>
    <row r="6" spans="5:7" x14ac:dyDescent="0.25">
      <c r="E6" s="1">
        <v>11</v>
      </c>
      <c r="F6" s="1">
        <f>E6*D16</f>
      </c>
      <c r="G6" s="1">
        <f>F6*F16*E16</f>
      </c>
    </row>
    <row r="7" spans="2:2" x14ac:dyDescent="0.25">
      <c r="B7" s="1">
        <v>0.2</v>
      </c>
    </row>
    <row r="9" spans="2:3" x14ac:dyDescent="0.25">
      <c r="B9" s="1" t="s">
        <v>10</v>
      </c>
      <c r="C9" s="1" t="s">
        <v>6</v>
      </c>
    </row>
    <row r="10" spans="2:3" x14ac:dyDescent="0.25">
      <c r="B10" s="1">
        <v>6</v>
      </c>
      <c r="C10" s="1">
        <v>2</v>
      </c>
    </row>
    <row r="11" spans="2:7" x14ac:dyDescent="0.25">
      <c r="B11" s="1" t="s">
        <v>11</v>
      </c>
      <c r="C11" s="1" t="s">
        <v>12</v>
      </c>
      <c r="D11" s="1" t="s">
        <v>0</v>
      </c>
      <c r="E11" s="1" t="s">
        <v>1</v>
      </c>
      <c r="F11" s="1" t="s">
        <v>2</v>
      </c>
      <c r="G11" s="1" t="s">
        <v>3</v>
      </c>
    </row>
    <row r="12" spans="2:7" x14ac:dyDescent="0.25">
      <c r="B12" s="1" t="s">
        <v>13</v>
      </c>
      <c r="C12" s="1">
        <v>5</v>
      </c>
      <c r="D12" s="1">
        <v>1.5</v>
      </c>
      <c r="E12" s="1">
        <v>1.5</v>
      </c>
      <c r="F12" s="1">
        <v>1.5</v>
      </c>
      <c r="G12" s="1">
        <f>PRODUCT(C12:F12)</f>
      </c>
    </row>
    <row r="13" spans="2:7" x14ac:dyDescent="0.25">
      <c r="B13" s="1" t="s">
        <v>14</v>
      </c>
      <c r="C13" s="1">
        <v>80</v>
      </c>
      <c r="D13" s="1">
        <v>0.1</v>
      </c>
      <c r="E13" s="1">
        <v>9</v>
      </c>
      <c r="F13" s="1">
        <v>5</v>
      </c>
      <c r="G13" s="1">
        <f>PRODUCT(C13:F13)</f>
      </c>
    </row>
    <row r="14" spans="2:7" x14ac:dyDescent="0.25">
      <c r="B14" s="1" t="s">
        <v>15</v>
      </c>
      <c r="C14" s="1">
        <v>34</v>
      </c>
      <c r="D14" s="1">
        <v>0.1</v>
      </c>
      <c r="E14" s="1">
        <v>9</v>
      </c>
      <c r="F14" s="1">
        <v>5</v>
      </c>
      <c r="G14" s="1">
        <f>PRODUCT(C14:F14)</f>
      </c>
    </row>
    <row r="15" spans="2:7" x14ac:dyDescent="0.25">
      <c r="B15" s="1" t="s">
        <v>16</v>
      </c>
      <c r="C15" s="1">
        <f>34*3+10</f>
      </c>
      <c r="D15" s="1">
        <v>0.2</v>
      </c>
      <c r="E15" s="1">
        <v>2</v>
      </c>
      <c r="F15" s="1">
        <v>2</v>
      </c>
      <c r="G15" s="1">
        <f>PRODUCT(C15:F15)</f>
      </c>
    </row>
    <row r="16" spans="2:7" x14ac:dyDescent="0.25">
      <c r="B16" s="1" t="s">
        <v>17</v>
      </c>
      <c r="C16" s="1">
        <v>10</v>
      </c>
      <c r="D16" s="1">
        <v>0.2</v>
      </c>
      <c r="E16" s="1">
        <v>30</v>
      </c>
      <c r="F16" s="1">
        <v>30</v>
      </c>
      <c r="G16" s="1">
        <f>PRODUCT(C16:F16)</f>
      </c>
    </row>
    <row r="17" spans="2:7" x14ac:dyDescent="0.25">
      <c r="B17" s="1" t="s">
        <v>18</v>
      </c>
      <c r="C17" s="1">
        <v>1</v>
      </c>
      <c r="D17" s="1">
        <v>0.2</v>
      </c>
      <c r="E17" s="1">
        <v>30</v>
      </c>
      <c r="F17" s="1">
        <v>30</v>
      </c>
      <c r="G17" s="1">
        <f>PRODUCT(C17:F17)</f>
      </c>
    </row>
    <row r="18" spans="2:7" x14ac:dyDescent="0.25">
      <c r="B18" s="1" t="s">
        <v>19</v>
      </c>
      <c r="C18" s="1">
        <v>10</v>
      </c>
      <c r="D18" s="1">
        <v>3</v>
      </c>
      <c r="E18" s="1">
        <v>5</v>
      </c>
      <c r="F18" s="1">
        <v>4</v>
      </c>
      <c r="G18" s="1">
        <f>PRODUCT(C18:F18)</f>
      </c>
    </row>
    <row r="20" spans="2:7" x14ac:dyDescent="0.25">
      <c r="B20" s="1" t="s">
        <v>20</v>
      </c>
      <c r="G20" s="1">
        <f>PRODUCT(C20:F20)</f>
      </c>
    </row>
    <row r="23" spans="2:7" x14ac:dyDescent="0.25">
      <c r="B23" s="1" t="s">
        <v>21</v>
      </c>
      <c r="C23" s="1">
        <v>1</v>
      </c>
      <c r="D23" s="1">
        <v>7</v>
      </c>
      <c r="E23" s="1">
        <v>30</v>
      </c>
      <c r="F23" s="1">
        <v>30</v>
      </c>
      <c r="G23" s="1">
        <f>PRODUCT(C23:F23)</f>
      </c>
    </row>
    <row r="24" spans="2:7" x14ac:dyDescent="0.25">
      <c r="B24" s="1" t="s">
        <v>22</v>
      </c>
      <c r="G24" s="1">
        <f>G23-SUM(G12:G22)</f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FormatPr defaultRowHeight="15" outlineLevelRow="0" outlineLevelCol="0" x14ac:dyDescent="55"/>
  <cols>
    <col min="1" max="1" width="15.714285714285714" customWidth="1"/>
    <col min="2" max="2" width="19.285714285714285" customWidth="1"/>
    <col min="3" max="3" width="9.285714285714286" customWidth="1"/>
    <col min="4" max="4" width="30.142857142857142" customWidth="1"/>
    <col min="5" max="5" width="27.857142857142858" customWidth="1"/>
    <col min="6" max="6" width="15.142857142857142" customWidth="1"/>
    <col min="7" max="7" width="24.857142857142858" customWidth="1"/>
    <col min="8" max="8" width="15.428571428571429" customWidth="1"/>
    <col min="9" max="9" width="16.142857142857142" customWidth="1"/>
    <col min="10" max="10" width="15.571428571428571" customWidth="1"/>
    <col min="11" max="11" width="16.142857142857142" customWidth="1"/>
    <col min="12" max="12" width="36.857142857142854" customWidth="1"/>
    <col min="13" max="13" width="11.857142857142858" customWidth="1"/>
    <col min="14" max="14" width="26" customWidth="1"/>
    <col min="15" max="15" width="29.571428571428573" customWidth="1"/>
    <col min="16" max="16" width="35.285714285714285" customWidth="1"/>
    <col min="17" max="17" width="33.142857142857146" customWidth="1"/>
    <col min="18" max="18" width="31.142857142857142" customWidth="1"/>
    <col min="19" max="19" width="34.57142857142857" customWidth="1"/>
    <col min="20" max="20" width="36.857142857142854" customWidth="1"/>
    <col min="21" max="21" width="27.857142857142858" customWidth="1"/>
    <col min="22" max="24" width="13.571428571428571" customWidth="1"/>
  </cols>
  <sheetData>
    <row r="1" spans="1:2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25">
      <c r="A2" s="1" t="s">
        <v>44</v>
      </c>
      <c r="B2" s="1" t="s">
        <v>45</v>
      </c>
      <c r="C2" s="3" t="s">
        <v>46</v>
      </c>
      <c r="D2" s="3" t="s">
        <v>47</v>
      </c>
      <c r="E2" s="1" t="s">
        <v>48</v>
      </c>
      <c r="F2" s="1">
        <v>120</v>
      </c>
      <c r="G2" s="1">
        <v>10</v>
      </c>
      <c r="H2" s="1">
        <v>40</v>
      </c>
      <c r="I2" s="1">
        <v>120</v>
      </c>
      <c r="J2" s="1">
        <v>360</v>
      </c>
      <c r="K2" s="1">
        <v>640</v>
      </c>
      <c r="L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/>
    </row>
    <row r="3" spans="1:21" x14ac:dyDescent="0.25">
      <c r="A3" s="1" t="s">
        <v>57</v>
      </c>
      <c r="B3" s="1" t="s">
        <v>45</v>
      </c>
      <c r="C3" s="3" t="s">
        <v>46</v>
      </c>
      <c r="D3" s="3" t="s">
        <v>58</v>
      </c>
      <c r="E3" s="1" t="s">
        <v>48</v>
      </c>
      <c r="F3" s="1">
        <v>120</v>
      </c>
      <c r="G3" s="1">
        <v>10</v>
      </c>
      <c r="H3" s="1">
        <v>40</v>
      </c>
      <c r="I3" s="1">
        <v>120</v>
      </c>
      <c r="J3" s="1">
        <v>360</v>
      </c>
      <c r="K3" s="1">
        <v>640</v>
      </c>
      <c r="L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59</v>
      </c>
    </row>
    <row r="4" spans="1:21" x14ac:dyDescent="0.25">
      <c r="A4" s="1" t="s">
        <v>60</v>
      </c>
      <c r="B4" s="1" t="s">
        <v>45</v>
      </c>
      <c r="C4" s="3" t="s">
        <v>46</v>
      </c>
      <c r="D4" s="3" t="s">
        <v>61</v>
      </c>
      <c r="E4" s="1" t="s">
        <v>62</v>
      </c>
      <c r="F4" s="1">
        <v>400</v>
      </c>
      <c r="G4" s="1">
        <v>50</v>
      </c>
      <c r="H4" s="1">
        <v>100</v>
      </c>
      <c r="I4" s="1">
        <v>150</v>
      </c>
      <c r="J4" s="1">
        <v>200</v>
      </c>
      <c r="K4" s="1">
        <v>300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59</v>
      </c>
    </row>
    <row r="5" spans="1:21" x14ac:dyDescent="0.25">
      <c r="A5" s="1" t="s">
        <v>63</v>
      </c>
      <c r="B5" s="1" t="s">
        <v>45</v>
      </c>
      <c r="C5" s="3" t="s">
        <v>46</v>
      </c>
      <c r="D5" s="3" t="s">
        <v>64</v>
      </c>
      <c r="E5" s="1" t="s">
        <v>48</v>
      </c>
      <c r="F5" s="1">
        <v>200</v>
      </c>
      <c r="G5" s="1">
        <v>15</v>
      </c>
      <c r="H5" s="1">
        <v>60</v>
      </c>
      <c r="I5" s="1">
        <v>180</v>
      </c>
      <c r="J5" s="1">
        <v>540</v>
      </c>
      <c r="K5" s="1">
        <v>800</v>
      </c>
      <c r="L5" s="1" t="s">
        <v>49</v>
      </c>
      <c r="N5" s="1" t="s">
        <v>50</v>
      </c>
      <c r="O5" s="1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59</v>
      </c>
    </row>
    <row r="6" spans="1:21" x14ac:dyDescent="0.25">
      <c r="A6" s="1" t="s">
        <v>65</v>
      </c>
      <c r="B6" s="1" t="s">
        <v>45</v>
      </c>
      <c r="C6" s="3" t="s">
        <v>46</v>
      </c>
      <c r="D6" s="3" t="s">
        <v>66</v>
      </c>
      <c r="E6" s="1" t="s">
        <v>48</v>
      </c>
      <c r="F6" s="1">
        <v>200</v>
      </c>
      <c r="G6" s="1">
        <v>15</v>
      </c>
      <c r="H6" s="1">
        <v>60</v>
      </c>
      <c r="I6" s="1">
        <v>180</v>
      </c>
      <c r="J6" s="1">
        <v>540</v>
      </c>
      <c r="K6" s="1">
        <v>800</v>
      </c>
      <c r="L6" s="1" t="s">
        <v>49</v>
      </c>
      <c r="N6" s="1" t="s">
        <v>50</v>
      </c>
      <c r="O6" s="1" t="s">
        <v>51</v>
      </c>
      <c r="P6" s="1" t="s">
        <v>52</v>
      </c>
      <c r="Q6" s="1" t="s">
        <v>53</v>
      </c>
      <c r="R6" s="1" t="s">
        <v>54</v>
      </c>
      <c r="S6" s="1" t="s">
        <v>55</v>
      </c>
      <c r="T6" s="1" t="s">
        <v>56</v>
      </c>
      <c r="U6" s="1" t="s">
        <v>59</v>
      </c>
    </row>
    <row r="7" spans="1:21" x14ac:dyDescent="0.25">
      <c r="A7" s="1">
        <v>10</v>
      </c>
      <c r="B7" s="1" t="s">
        <v>45</v>
      </c>
      <c r="C7" s="3" t="s">
        <v>46</v>
      </c>
      <c r="D7" s="3" t="s">
        <v>67</v>
      </c>
      <c r="E7" s="1" t="s">
        <v>48</v>
      </c>
      <c r="F7" s="1">
        <v>240</v>
      </c>
      <c r="G7" s="1">
        <v>20</v>
      </c>
      <c r="H7" s="1">
        <v>80</v>
      </c>
      <c r="I7" s="1">
        <v>200</v>
      </c>
      <c r="J7" s="1">
        <v>600</v>
      </c>
      <c r="K7" s="1">
        <v>800</v>
      </c>
      <c r="L7" s="1" t="s">
        <v>49</v>
      </c>
      <c r="N7" s="1" t="s">
        <v>50</v>
      </c>
      <c r="O7" s="1" t="s">
        <v>51</v>
      </c>
      <c r="P7" s="1" t="s">
        <v>52</v>
      </c>
      <c r="Q7" s="1" t="s">
        <v>53</v>
      </c>
      <c r="R7" s="1" t="s">
        <v>54</v>
      </c>
      <c r="S7" s="1" t="s">
        <v>55</v>
      </c>
      <c r="T7" s="1" t="s">
        <v>56</v>
      </c>
      <c r="U7" s="1" t="s">
        <v>59</v>
      </c>
    </row>
    <row r="8" spans="1:21" x14ac:dyDescent="0.25">
      <c r="A8" s="1">
        <v>12</v>
      </c>
      <c r="B8" s="1" t="s">
        <v>45</v>
      </c>
      <c r="C8" s="3" t="s">
        <v>46</v>
      </c>
      <c r="D8" s="3" t="s">
        <v>68</v>
      </c>
      <c r="E8" s="1" t="s">
        <v>48</v>
      </c>
      <c r="F8" s="1">
        <v>280</v>
      </c>
      <c r="G8" s="1">
        <v>20</v>
      </c>
      <c r="H8" s="1">
        <v>100</v>
      </c>
      <c r="I8" s="1">
        <v>300</v>
      </c>
      <c r="J8" s="1">
        <v>800</v>
      </c>
      <c r="K8" s="1">
        <v>1250</v>
      </c>
      <c r="L8" s="1" t="s">
        <v>49</v>
      </c>
      <c r="N8" s="1" t="s">
        <v>50</v>
      </c>
      <c r="O8" s="1" t="s">
        <v>51</v>
      </c>
      <c r="P8" s="1" t="s">
        <v>52</v>
      </c>
      <c r="Q8" s="1" t="s">
        <v>53</v>
      </c>
      <c r="R8" s="1" t="s">
        <v>54</v>
      </c>
      <c r="S8" s="1" t="s">
        <v>55</v>
      </c>
      <c r="T8" s="1" t="s">
        <v>56</v>
      </c>
      <c r="U8" s="1" t="s">
        <v>59</v>
      </c>
    </row>
    <row r="9" spans="1:21" x14ac:dyDescent="0.25">
      <c r="A9" s="1">
        <v>13</v>
      </c>
      <c r="B9" s="1" t="s">
        <v>45</v>
      </c>
      <c r="C9" s="3" t="s">
        <v>46</v>
      </c>
      <c r="D9" s="3" t="s">
        <v>69</v>
      </c>
      <c r="E9" s="1" t="s">
        <v>70</v>
      </c>
      <c r="F9" s="1">
        <v>300</v>
      </c>
      <c r="G9" s="1">
        <v>10</v>
      </c>
      <c r="H9" s="1">
        <v>20</v>
      </c>
      <c r="I9" s="1">
        <v>40</v>
      </c>
      <c r="N9" s="1" t="s">
        <v>50</v>
      </c>
      <c r="O9" s="1" t="s">
        <v>51</v>
      </c>
      <c r="P9" s="1" t="s">
        <v>52</v>
      </c>
      <c r="Q9" s="1" t="s">
        <v>53</v>
      </c>
      <c r="R9" s="1" t="s">
        <v>54</v>
      </c>
      <c r="S9" s="1" t="s">
        <v>55</v>
      </c>
      <c r="T9" s="1" t="s">
        <v>56</v>
      </c>
      <c r="U9" s="1" t="s">
        <v>59</v>
      </c>
    </row>
    <row r="10" spans="1:21" x14ac:dyDescent="0.25">
      <c r="A10" s="1">
        <v>14</v>
      </c>
      <c r="B10" s="1" t="s">
        <v>45</v>
      </c>
      <c r="C10" s="3" t="s">
        <v>46</v>
      </c>
      <c r="D10" s="3" t="s">
        <v>71</v>
      </c>
      <c r="E10" s="1" t="s">
        <v>48</v>
      </c>
      <c r="F10" s="1">
        <v>320</v>
      </c>
      <c r="G10" s="1">
        <v>25</v>
      </c>
      <c r="H10" s="1">
        <v>120</v>
      </c>
      <c r="I10" s="1">
        <v>360</v>
      </c>
      <c r="J10" s="1">
        <v>1000</v>
      </c>
      <c r="K10" s="1">
        <v>1400</v>
      </c>
      <c r="L10" s="1" t="s">
        <v>49</v>
      </c>
      <c r="N10" s="1" t="s">
        <v>50</v>
      </c>
      <c r="O10" s="1" t="s">
        <v>51</v>
      </c>
      <c r="P10" s="1" t="s">
        <v>52</v>
      </c>
      <c r="Q10" s="1" t="s">
        <v>53</v>
      </c>
      <c r="R10" s="1" t="s">
        <v>54</v>
      </c>
      <c r="S10" s="1" t="s">
        <v>55</v>
      </c>
      <c r="T10" s="1" t="s">
        <v>56</v>
      </c>
      <c r="U10" s="1" t="s">
        <v>59</v>
      </c>
    </row>
    <row r="11" spans="1:21" x14ac:dyDescent="0.25">
      <c r="A11" s="1">
        <v>16</v>
      </c>
      <c r="B11" s="1" t="s">
        <v>45</v>
      </c>
      <c r="C11" s="3" t="s">
        <v>46</v>
      </c>
      <c r="D11" s="3" t="s">
        <v>72</v>
      </c>
      <c r="E11" s="1" t="s">
        <v>62</v>
      </c>
      <c r="F11" s="1">
        <v>400</v>
      </c>
      <c r="G11" s="1">
        <v>50</v>
      </c>
      <c r="H11" s="1">
        <v>100</v>
      </c>
      <c r="I11" s="1">
        <v>150</v>
      </c>
      <c r="J11" s="1">
        <v>200</v>
      </c>
      <c r="K11" s="1">
        <v>300</v>
      </c>
      <c r="N11" s="1" t="s">
        <v>50</v>
      </c>
      <c r="O11" s="1" t="s">
        <v>51</v>
      </c>
      <c r="P11" s="1" t="s">
        <v>52</v>
      </c>
      <c r="Q11" s="1" t="s">
        <v>53</v>
      </c>
      <c r="R11" s="1" t="s">
        <v>54</v>
      </c>
      <c r="S11" s="1" t="s">
        <v>55</v>
      </c>
      <c r="T11" s="1" t="s">
        <v>56</v>
      </c>
      <c r="U11" s="1" t="s">
        <v>59</v>
      </c>
    </row>
    <row r="12" spans="1:21" x14ac:dyDescent="0.25">
      <c r="A12" s="1">
        <v>17</v>
      </c>
      <c r="B12" s="1" t="s">
        <v>45</v>
      </c>
      <c r="C12" s="3" t="s">
        <v>46</v>
      </c>
      <c r="D12" s="3" t="s">
        <v>73</v>
      </c>
      <c r="E12" s="1" t="s">
        <v>48</v>
      </c>
      <c r="F12" s="1">
        <v>360</v>
      </c>
      <c r="G12" s="1">
        <v>30</v>
      </c>
      <c r="H12" s="1">
        <v>140</v>
      </c>
      <c r="I12" s="1">
        <v>400</v>
      </c>
      <c r="J12" s="1">
        <v>1100</v>
      </c>
      <c r="K12" s="1">
        <v>1500</v>
      </c>
      <c r="L12" s="1" t="s">
        <v>49</v>
      </c>
      <c r="N12" s="1" t="s">
        <v>50</v>
      </c>
      <c r="O12" s="1" t="s">
        <v>51</v>
      </c>
      <c r="P12" s="1" t="s">
        <v>52</v>
      </c>
      <c r="Q12" s="1" t="s">
        <v>53</v>
      </c>
      <c r="R12" s="1" t="s">
        <v>54</v>
      </c>
      <c r="S12" s="1" t="s">
        <v>55</v>
      </c>
      <c r="T12" s="1" t="s">
        <v>56</v>
      </c>
      <c r="U12" s="1" t="s">
        <v>59</v>
      </c>
    </row>
    <row r="13" spans="1:21" x14ac:dyDescent="0.25">
      <c r="A13" s="1">
        <v>18</v>
      </c>
      <c r="B13" s="1" t="s">
        <v>45</v>
      </c>
      <c r="C13" s="3" t="s">
        <v>46</v>
      </c>
      <c r="D13" s="3" t="s">
        <v>74</v>
      </c>
      <c r="E13" s="1" t="s">
        <v>48</v>
      </c>
      <c r="F13" s="1">
        <v>360</v>
      </c>
      <c r="G13" s="1">
        <v>30</v>
      </c>
      <c r="H13" s="1">
        <v>140</v>
      </c>
      <c r="I13" s="1">
        <v>400</v>
      </c>
      <c r="J13" s="1">
        <v>1100</v>
      </c>
      <c r="K13" s="1">
        <v>1500</v>
      </c>
      <c r="L13" s="1" t="s">
        <v>49</v>
      </c>
      <c r="N13" s="1" t="s">
        <v>50</v>
      </c>
      <c r="O13" s="1" t="s">
        <v>51</v>
      </c>
      <c r="P13" s="1" t="s">
        <v>52</v>
      </c>
      <c r="Q13" s="1" t="s">
        <v>53</v>
      </c>
      <c r="R13" s="1" t="s">
        <v>54</v>
      </c>
      <c r="S13" s="1" t="s">
        <v>55</v>
      </c>
      <c r="T13" s="1" t="s">
        <v>56</v>
      </c>
      <c r="U13" s="1" t="s">
        <v>59</v>
      </c>
    </row>
    <row r="14" spans="1:21" x14ac:dyDescent="0.25">
      <c r="A14" s="1">
        <v>20</v>
      </c>
      <c r="B14" s="1" t="s">
        <v>45</v>
      </c>
      <c r="C14" s="3" t="s">
        <v>46</v>
      </c>
      <c r="D14" s="3" t="s">
        <v>75</v>
      </c>
      <c r="E14" s="1" t="s">
        <v>48</v>
      </c>
      <c r="F14" s="1">
        <v>400</v>
      </c>
      <c r="G14" s="1">
        <v>35</v>
      </c>
      <c r="H14" s="1">
        <v>160</v>
      </c>
      <c r="I14" s="1">
        <v>440</v>
      </c>
      <c r="J14" s="1">
        <v>1200</v>
      </c>
      <c r="K14" s="1">
        <v>1600</v>
      </c>
      <c r="L14" s="1" t="s">
        <v>49</v>
      </c>
      <c r="N14" s="1" t="s">
        <v>50</v>
      </c>
      <c r="O14" s="1" t="s">
        <v>51</v>
      </c>
      <c r="P14" s="1" t="s">
        <v>52</v>
      </c>
      <c r="Q14" s="1" t="s">
        <v>53</v>
      </c>
      <c r="R14" s="1" t="s">
        <v>54</v>
      </c>
      <c r="S14" s="1" t="s">
        <v>55</v>
      </c>
      <c r="T14" s="1" t="s">
        <v>56</v>
      </c>
      <c r="U14" s="1" t="s">
        <v>59</v>
      </c>
    </row>
    <row r="15" spans="1:21" x14ac:dyDescent="0.25">
      <c r="A15" s="1">
        <v>22</v>
      </c>
      <c r="B15" s="1" t="s">
        <v>45</v>
      </c>
      <c r="C15" s="3" t="s">
        <v>46</v>
      </c>
      <c r="D15" s="3" t="s">
        <v>76</v>
      </c>
      <c r="E15" s="1" t="s">
        <v>48</v>
      </c>
      <c r="F15" s="1">
        <v>440</v>
      </c>
      <c r="G15" s="1">
        <v>35</v>
      </c>
      <c r="H15" s="1">
        <v>180</v>
      </c>
      <c r="I15" s="1">
        <v>500</v>
      </c>
      <c r="J15" s="1">
        <v>1400</v>
      </c>
      <c r="K15" s="1">
        <v>1750</v>
      </c>
      <c r="L15" s="1" t="s">
        <v>49</v>
      </c>
      <c r="N15" s="1" t="s">
        <v>50</v>
      </c>
      <c r="O15" s="1" t="s">
        <v>51</v>
      </c>
      <c r="P15" s="1" t="s">
        <v>52</v>
      </c>
      <c r="Q15" s="1" t="s">
        <v>53</v>
      </c>
      <c r="R15" s="1" t="s">
        <v>54</v>
      </c>
      <c r="S15" s="1" t="s">
        <v>55</v>
      </c>
      <c r="T15" s="1" t="s">
        <v>56</v>
      </c>
      <c r="U15" s="1" t="s">
        <v>59</v>
      </c>
    </row>
    <row r="16" spans="1:21" x14ac:dyDescent="0.25">
      <c r="A16" s="1">
        <v>23</v>
      </c>
      <c r="B16" s="1" t="s">
        <v>45</v>
      </c>
      <c r="C16" s="3" t="s">
        <v>46</v>
      </c>
      <c r="D16" s="3" t="s">
        <v>77</v>
      </c>
      <c r="E16" s="1" t="s">
        <v>48</v>
      </c>
      <c r="F16" s="1">
        <v>440</v>
      </c>
      <c r="G16" s="1">
        <v>35</v>
      </c>
      <c r="H16" s="1">
        <v>180</v>
      </c>
      <c r="I16" s="1">
        <v>500</v>
      </c>
      <c r="J16" s="1">
        <v>1400</v>
      </c>
      <c r="K16" s="1">
        <v>1750</v>
      </c>
      <c r="L16" s="1" t="s">
        <v>49</v>
      </c>
      <c r="N16" s="1" t="s">
        <v>50</v>
      </c>
      <c r="O16" s="1" t="s">
        <v>51</v>
      </c>
      <c r="P16" s="1" t="s">
        <v>52</v>
      </c>
      <c r="Q16" s="1" t="s">
        <v>53</v>
      </c>
      <c r="R16" s="1" t="s">
        <v>54</v>
      </c>
      <c r="S16" s="1" t="s">
        <v>55</v>
      </c>
      <c r="T16" s="1" t="s">
        <v>56</v>
      </c>
      <c r="U16" s="1" t="s">
        <v>59</v>
      </c>
    </row>
    <row r="17" spans="1:21" x14ac:dyDescent="0.25">
      <c r="A17" s="1">
        <v>25</v>
      </c>
      <c r="B17" s="1" t="s">
        <v>45</v>
      </c>
      <c r="C17" s="3" t="s">
        <v>46</v>
      </c>
      <c r="D17" s="3" t="s">
        <v>78</v>
      </c>
      <c r="E17" s="1" t="s">
        <v>48</v>
      </c>
      <c r="F17" s="1">
        <v>480</v>
      </c>
      <c r="G17" s="1">
        <v>40</v>
      </c>
      <c r="H17" s="1">
        <v>200</v>
      </c>
      <c r="I17" s="1">
        <v>600</v>
      </c>
      <c r="J17" s="1">
        <v>1500</v>
      </c>
      <c r="K17" s="1">
        <v>1850</v>
      </c>
      <c r="L17" s="1" t="s">
        <v>49</v>
      </c>
      <c r="N17" s="1" t="s">
        <v>50</v>
      </c>
      <c r="O17" s="1" t="s">
        <v>51</v>
      </c>
      <c r="P17" s="1" t="s">
        <v>52</v>
      </c>
      <c r="Q17" s="1" t="s">
        <v>53</v>
      </c>
      <c r="R17" s="1" t="s">
        <v>54</v>
      </c>
      <c r="S17" s="1" t="s">
        <v>55</v>
      </c>
      <c r="T17" s="1" t="s">
        <v>56</v>
      </c>
      <c r="U17" s="1" t="s">
        <v>59</v>
      </c>
    </row>
    <row r="18" spans="1:21" x14ac:dyDescent="0.25">
      <c r="A18" s="1">
        <v>26</v>
      </c>
      <c r="B18" s="1" t="s">
        <v>45</v>
      </c>
      <c r="C18" s="3" t="s">
        <v>46</v>
      </c>
      <c r="D18" s="3" t="s">
        <v>79</v>
      </c>
      <c r="E18" s="1" t="s">
        <v>62</v>
      </c>
      <c r="F18" s="1">
        <v>400</v>
      </c>
      <c r="G18" s="1">
        <v>50</v>
      </c>
      <c r="H18" s="1">
        <v>100</v>
      </c>
      <c r="I18" s="1">
        <v>150</v>
      </c>
      <c r="J18" s="1">
        <v>200</v>
      </c>
      <c r="K18" s="1">
        <v>300</v>
      </c>
      <c r="N18" s="1" t="s">
        <v>50</v>
      </c>
      <c r="O18" s="1" t="s">
        <v>51</v>
      </c>
      <c r="P18" s="1" t="s">
        <v>52</v>
      </c>
      <c r="Q18" s="1" t="s">
        <v>53</v>
      </c>
      <c r="R18" s="1" t="s">
        <v>54</v>
      </c>
      <c r="S18" s="1" t="s">
        <v>55</v>
      </c>
      <c r="T18" s="1" t="s">
        <v>56</v>
      </c>
      <c r="U18" s="1" t="s">
        <v>59</v>
      </c>
    </row>
    <row r="19" spans="1:21" x14ac:dyDescent="0.25">
      <c r="A19" s="1">
        <v>27</v>
      </c>
      <c r="B19" s="1" t="s">
        <v>45</v>
      </c>
      <c r="C19" s="3" t="s">
        <v>46</v>
      </c>
      <c r="D19" s="3" t="s">
        <v>80</v>
      </c>
      <c r="E19" s="1" t="s">
        <v>48</v>
      </c>
      <c r="F19" s="1">
        <v>520</v>
      </c>
      <c r="G19" s="1">
        <v>45</v>
      </c>
      <c r="H19" s="1">
        <v>220</v>
      </c>
      <c r="I19" s="1">
        <v>660</v>
      </c>
      <c r="J19" s="1">
        <v>1600</v>
      </c>
      <c r="K19" s="1">
        <v>1950</v>
      </c>
      <c r="L19" s="1" t="s">
        <v>49</v>
      </c>
      <c r="N19" s="1" t="s">
        <v>50</v>
      </c>
      <c r="O19" s="1" t="s">
        <v>51</v>
      </c>
      <c r="P19" s="1" t="s">
        <v>52</v>
      </c>
      <c r="Q19" s="1" t="s">
        <v>53</v>
      </c>
      <c r="R19" s="1" t="s">
        <v>54</v>
      </c>
      <c r="S19" s="1" t="s">
        <v>55</v>
      </c>
      <c r="T19" s="1" t="s">
        <v>56</v>
      </c>
      <c r="U19" s="1" t="s">
        <v>59</v>
      </c>
    </row>
    <row r="20" spans="1:21" x14ac:dyDescent="0.25">
      <c r="A20" s="1">
        <v>28</v>
      </c>
      <c r="B20" s="1" t="s">
        <v>45</v>
      </c>
      <c r="C20" s="3" t="s">
        <v>46</v>
      </c>
      <c r="D20" s="3" t="s">
        <v>81</v>
      </c>
      <c r="E20" s="1" t="s">
        <v>48</v>
      </c>
      <c r="F20" s="1">
        <v>520</v>
      </c>
      <c r="G20" s="1">
        <v>45</v>
      </c>
      <c r="H20" s="1">
        <v>220</v>
      </c>
      <c r="I20" s="1">
        <v>660</v>
      </c>
      <c r="J20" s="1">
        <v>1600</v>
      </c>
      <c r="K20" s="1">
        <v>1950</v>
      </c>
      <c r="L20" s="1" t="s">
        <v>49</v>
      </c>
      <c r="N20" s="1" t="s">
        <v>50</v>
      </c>
      <c r="O20" s="1" t="s">
        <v>51</v>
      </c>
      <c r="P20" s="1" t="s">
        <v>52</v>
      </c>
      <c r="Q20" s="1" t="s">
        <v>53</v>
      </c>
      <c r="R20" s="1" t="s">
        <v>54</v>
      </c>
      <c r="S20" s="1" t="s">
        <v>55</v>
      </c>
      <c r="T20" s="1" t="s">
        <v>56</v>
      </c>
      <c r="U20" s="1" t="s">
        <v>59</v>
      </c>
    </row>
    <row r="21" spans="1:21" x14ac:dyDescent="0.25">
      <c r="A21" s="1">
        <v>29</v>
      </c>
      <c r="B21" s="1" t="s">
        <v>45</v>
      </c>
      <c r="C21" s="3" t="s">
        <v>46</v>
      </c>
      <c r="D21" s="3" t="s">
        <v>82</v>
      </c>
      <c r="E21" s="1" t="s">
        <v>70</v>
      </c>
      <c r="F21" s="1">
        <v>300</v>
      </c>
      <c r="G21" s="1">
        <v>10</v>
      </c>
      <c r="H21" s="1">
        <v>20</v>
      </c>
      <c r="I21" s="1">
        <v>40</v>
      </c>
      <c r="N21" s="1" t="s">
        <v>50</v>
      </c>
      <c r="O21" s="1" t="s">
        <v>51</v>
      </c>
      <c r="P21" s="1" t="s">
        <v>52</v>
      </c>
      <c r="Q21" s="1" t="s">
        <v>53</v>
      </c>
      <c r="R21" s="1" t="s">
        <v>54</v>
      </c>
      <c r="S21" s="1" t="s">
        <v>55</v>
      </c>
      <c r="T21" s="1" t="s">
        <v>56</v>
      </c>
      <c r="U21" s="1" t="s">
        <v>59</v>
      </c>
    </row>
    <row r="22" spans="1:21" x14ac:dyDescent="0.25">
      <c r="A22" s="1">
        <v>30</v>
      </c>
      <c r="B22" s="1" t="s">
        <v>45</v>
      </c>
      <c r="C22" s="3" t="s">
        <v>46</v>
      </c>
      <c r="D22" s="3" t="s">
        <v>83</v>
      </c>
      <c r="E22" s="1" t="s">
        <v>48</v>
      </c>
      <c r="F22" s="1">
        <v>560</v>
      </c>
      <c r="G22" s="1">
        <v>50</v>
      </c>
      <c r="H22" s="1">
        <v>240</v>
      </c>
      <c r="I22" s="1">
        <v>720</v>
      </c>
      <c r="J22" s="1">
        <v>1700</v>
      </c>
      <c r="K22" s="1">
        <v>2050</v>
      </c>
      <c r="L22" s="1" t="s">
        <v>49</v>
      </c>
      <c r="N22" s="1" t="s">
        <v>50</v>
      </c>
      <c r="O22" s="1" t="s">
        <v>51</v>
      </c>
      <c r="P22" s="1" t="s">
        <v>52</v>
      </c>
      <c r="Q22" s="1" t="s">
        <v>53</v>
      </c>
      <c r="R22" s="1" t="s">
        <v>54</v>
      </c>
      <c r="S22" s="1" t="s">
        <v>55</v>
      </c>
      <c r="T22" s="1" t="s">
        <v>56</v>
      </c>
      <c r="U22" s="1" t="s">
        <v>59</v>
      </c>
    </row>
    <row r="23" spans="1:21" x14ac:dyDescent="0.25">
      <c r="A23" s="1">
        <v>32</v>
      </c>
      <c r="B23" s="1" t="s">
        <v>45</v>
      </c>
      <c r="C23" s="3" t="s">
        <v>46</v>
      </c>
      <c r="D23" s="3" t="s">
        <v>79</v>
      </c>
      <c r="E23" s="1" t="s">
        <v>48</v>
      </c>
      <c r="F23" s="1">
        <v>600</v>
      </c>
      <c r="G23" s="1">
        <v>55</v>
      </c>
      <c r="H23" s="1">
        <v>260</v>
      </c>
      <c r="I23" s="1">
        <v>780</v>
      </c>
      <c r="J23" s="1">
        <v>1900</v>
      </c>
      <c r="K23" s="1">
        <v>2200</v>
      </c>
      <c r="L23" s="1" t="s">
        <v>49</v>
      </c>
      <c r="N23" s="1" t="s">
        <v>50</v>
      </c>
      <c r="O23" s="1" t="s">
        <v>51</v>
      </c>
      <c r="P23" s="1" t="s">
        <v>52</v>
      </c>
      <c r="Q23" s="1" t="s">
        <v>53</v>
      </c>
      <c r="R23" s="1" t="s">
        <v>54</v>
      </c>
      <c r="S23" s="1" t="s">
        <v>55</v>
      </c>
      <c r="T23" s="1" t="s">
        <v>56</v>
      </c>
      <c r="U23" s="1" t="s">
        <v>59</v>
      </c>
    </row>
    <row r="24" spans="1:21" x14ac:dyDescent="0.25">
      <c r="A24" s="1">
        <v>35</v>
      </c>
      <c r="B24" s="1" t="s">
        <v>45</v>
      </c>
      <c r="C24" s="3" t="s">
        <v>46</v>
      </c>
      <c r="D24" s="3" t="s">
        <v>84</v>
      </c>
      <c r="E24" s="1" t="s">
        <v>48</v>
      </c>
      <c r="F24" s="1">
        <v>640</v>
      </c>
      <c r="G24" s="1">
        <v>60</v>
      </c>
      <c r="H24" s="1">
        <v>300</v>
      </c>
      <c r="I24" s="1">
        <v>900</v>
      </c>
      <c r="J24" s="1">
        <v>2000</v>
      </c>
      <c r="K24" s="1">
        <v>2400</v>
      </c>
      <c r="L24" s="1" t="s">
        <v>49</v>
      </c>
      <c r="N24" s="1" t="s">
        <v>50</v>
      </c>
      <c r="O24" s="1" t="s">
        <v>51</v>
      </c>
      <c r="P24" s="1" t="s">
        <v>52</v>
      </c>
      <c r="Q24" s="1" t="s">
        <v>53</v>
      </c>
      <c r="R24" s="1" t="s">
        <v>54</v>
      </c>
      <c r="S24" s="1" t="s">
        <v>55</v>
      </c>
      <c r="T24" s="1" t="s">
        <v>56</v>
      </c>
      <c r="U24" s="1" t="s">
        <v>59</v>
      </c>
    </row>
    <row r="25" spans="1:21" x14ac:dyDescent="0.25">
      <c r="A25" s="1">
        <v>34</v>
      </c>
      <c r="B25" s="1" t="s">
        <v>45</v>
      </c>
      <c r="C25" s="3" t="s">
        <v>46</v>
      </c>
      <c r="D25" s="3" t="s">
        <v>85</v>
      </c>
      <c r="E25" s="1" t="s">
        <v>48</v>
      </c>
      <c r="F25" s="1">
        <v>600</v>
      </c>
      <c r="G25" s="1">
        <v>55</v>
      </c>
      <c r="H25" s="1">
        <v>260</v>
      </c>
      <c r="I25" s="1">
        <v>780</v>
      </c>
      <c r="J25" s="1">
        <v>1900</v>
      </c>
      <c r="K25" s="1">
        <v>2200</v>
      </c>
      <c r="L25" s="1" t="s">
        <v>49</v>
      </c>
      <c r="N25" s="1" t="s">
        <v>50</v>
      </c>
      <c r="O25" s="1" t="s">
        <v>51</v>
      </c>
      <c r="P25" s="1" t="s">
        <v>52</v>
      </c>
      <c r="Q25" s="1" t="s">
        <v>53</v>
      </c>
      <c r="R25" s="1" t="s">
        <v>54</v>
      </c>
      <c r="S25" s="1" t="s">
        <v>55</v>
      </c>
      <c r="T25" s="1" t="s">
        <v>56</v>
      </c>
      <c r="U25" s="1" t="s">
        <v>59</v>
      </c>
    </row>
    <row r="26" spans="1:21" x14ac:dyDescent="0.25">
      <c r="A26" s="1">
        <v>36</v>
      </c>
      <c r="B26" s="1" t="s">
        <v>45</v>
      </c>
      <c r="C26" s="3" t="s">
        <v>46</v>
      </c>
      <c r="D26" s="3" t="s">
        <v>86</v>
      </c>
      <c r="E26" s="1" t="s">
        <v>62</v>
      </c>
      <c r="F26" s="1">
        <v>400</v>
      </c>
      <c r="G26" s="1">
        <v>50</v>
      </c>
      <c r="H26" s="1">
        <v>100</v>
      </c>
      <c r="I26" s="1">
        <v>150</v>
      </c>
      <c r="J26" s="1">
        <v>200</v>
      </c>
      <c r="K26" s="1">
        <v>300</v>
      </c>
      <c r="N26" s="1" t="s">
        <v>50</v>
      </c>
      <c r="O26" s="1" t="s">
        <v>51</v>
      </c>
      <c r="P26" s="1" t="s">
        <v>52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59</v>
      </c>
    </row>
    <row r="27" spans="1:21" x14ac:dyDescent="0.25">
      <c r="A27" s="1">
        <v>37</v>
      </c>
      <c r="B27" s="1" t="s">
        <v>45</v>
      </c>
      <c r="C27" s="3" t="s">
        <v>46</v>
      </c>
      <c r="D27" s="3" t="s">
        <v>87</v>
      </c>
      <c r="E27" s="1" t="s">
        <v>48</v>
      </c>
      <c r="F27" s="1">
        <v>680</v>
      </c>
      <c r="G27" s="1">
        <v>65</v>
      </c>
      <c r="H27" s="1">
        <v>340</v>
      </c>
      <c r="I27" s="1">
        <v>1000</v>
      </c>
      <c r="J27" s="1">
        <v>2100</v>
      </c>
      <c r="K27" s="1">
        <v>2500</v>
      </c>
      <c r="L27" s="1" t="s">
        <v>49</v>
      </c>
      <c r="N27" s="1" t="s">
        <v>50</v>
      </c>
      <c r="O27" s="1" t="s">
        <v>51</v>
      </c>
      <c r="P27" s="1" t="s">
        <v>52</v>
      </c>
      <c r="Q27" s="1" t="s">
        <v>53</v>
      </c>
      <c r="R27" s="1" t="s">
        <v>54</v>
      </c>
      <c r="S27" s="1" t="s">
        <v>55</v>
      </c>
      <c r="T27" s="1" t="s">
        <v>56</v>
      </c>
      <c r="U27" s="1" t="s">
        <v>59</v>
      </c>
    </row>
    <row r="28" spans="1:21" x14ac:dyDescent="0.25">
      <c r="A28" s="1">
        <v>39</v>
      </c>
      <c r="B28" s="1" t="s">
        <v>45</v>
      </c>
      <c r="C28" s="3" t="s">
        <v>46</v>
      </c>
      <c r="D28" s="3" t="s">
        <v>88</v>
      </c>
      <c r="E28" s="1" t="s">
        <v>48</v>
      </c>
      <c r="F28" s="1">
        <v>680</v>
      </c>
      <c r="G28" s="1">
        <v>65</v>
      </c>
      <c r="H28" s="1">
        <v>340</v>
      </c>
      <c r="I28" s="1">
        <v>1000</v>
      </c>
      <c r="J28" s="1">
        <v>2100</v>
      </c>
      <c r="K28" s="1">
        <v>2500</v>
      </c>
      <c r="L28" s="1" t="s">
        <v>49</v>
      </c>
      <c r="N28" s="1" t="s">
        <v>50</v>
      </c>
      <c r="O28" s="1" t="s">
        <v>51</v>
      </c>
      <c r="P28" s="1" t="s">
        <v>52</v>
      </c>
      <c r="Q28" s="1" t="s">
        <v>53</v>
      </c>
      <c r="R28" s="1" t="s">
        <v>54</v>
      </c>
      <c r="S28" s="1" t="s">
        <v>55</v>
      </c>
      <c r="T28" s="1" t="s">
        <v>56</v>
      </c>
      <c r="U28" s="1" t="s">
        <v>59</v>
      </c>
    </row>
    <row r="29" spans="1:21" x14ac:dyDescent="0.25">
      <c r="A29" s="1">
        <v>40</v>
      </c>
      <c r="B29" s="1" t="s">
        <v>45</v>
      </c>
      <c r="C29" s="3" t="s">
        <v>46</v>
      </c>
      <c r="D29" s="3" t="s">
        <v>89</v>
      </c>
      <c r="E29" s="1" t="s">
        <v>48</v>
      </c>
      <c r="F29" s="1">
        <v>720</v>
      </c>
      <c r="G29" s="1">
        <v>70</v>
      </c>
      <c r="H29" s="1">
        <v>400</v>
      </c>
      <c r="I29" s="1">
        <v>1100</v>
      </c>
      <c r="J29" s="1">
        <v>2150</v>
      </c>
      <c r="K29" s="1">
        <v>2500</v>
      </c>
      <c r="L29" s="1" t="s">
        <v>49</v>
      </c>
      <c r="N29" s="1" t="s">
        <v>50</v>
      </c>
      <c r="O29" s="1" t="s">
        <v>51</v>
      </c>
      <c r="P29" s="1" t="s">
        <v>52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59</v>
      </c>
    </row>
    <row r="30" spans="1:21" x14ac:dyDescent="0.25">
      <c r="A30" s="1">
        <v>43</v>
      </c>
      <c r="B30" s="1" t="s">
        <v>45</v>
      </c>
      <c r="C30" s="3" t="s">
        <v>46</v>
      </c>
      <c r="D30" s="3" t="s">
        <v>90</v>
      </c>
      <c r="E30" s="1" t="s">
        <v>48</v>
      </c>
      <c r="F30" s="1">
        <v>760</v>
      </c>
      <c r="G30" s="1">
        <v>75</v>
      </c>
      <c r="H30" s="1">
        <v>440</v>
      </c>
      <c r="I30" s="1">
        <v>1200</v>
      </c>
      <c r="J30" s="1">
        <v>2250</v>
      </c>
      <c r="K30" s="1">
        <v>2600</v>
      </c>
      <c r="L30" s="1" t="s">
        <v>49</v>
      </c>
      <c r="N30" s="1" t="s">
        <v>50</v>
      </c>
      <c r="O30" s="1" t="s">
        <v>51</v>
      </c>
      <c r="P30" s="1" t="s">
        <v>52</v>
      </c>
      <c r="Q30" s="1" t="s">
        <v>53</v>
      </c>
      <c r="R30" s="1" t="s">
        <v>54</v>
      </c>
      <c r="S30" s="1" t="s">
        <v>55</v>
      </c>
      <c r="T30" s="1" t="s">
        <v>56</v>
      </c>
      <c r="U30" s="1" t="s">
        <v>59</v>
      </c>
    </row>
    <row r="31" spans="1:21" x14ac:dyDescent="0.25">
      <c r="A31" s="1">
        <v>44</v>
      </c>
      <c r="B31" s="1" t="s">
        <v>45</v>
      </c>
      <c r="C31" s="3" t="s">
        <v>46</v>
      </c>
      <c r="D31" s="3" t="s">
        <v>91</v>
      </c>
      <c r="E31" s="1" t="s">
        <v>70</v>
      </c>
      <c r="F31" s="1">
        <v>300</v>
      </c>
      <c r="G31" s="1">
        <v>10</v>
      </c>
      <c r="H31" s="1">
        <v>20</v>
      </c>
      <c r="I31" s="1">
        <v>40</v>
      </c>
      <c r="N31" s="1" t="s">
        <v>50</v>
      </c>
      <c r="O31" s="1" t="s">
        <v>51</v>
      </c>
      <c r="P31" s="1" t="s">
        <v>52</v>
      </c>
      <c r="Q31" s="1" t="s">
        <v>53</v>
      </c>
      <c r="R31" s="1" t="s">
        <v>54</v>
      </c>
      <c r="S31" s="1" t="s">
        <v>55</v>
      </c>
      <c r="T31" s="1" t="s">
        <v>56</v>
      </c>
      <c r="U31" s="1" t="s">
        <v>59</v>
      </c>
    </row>
    <row r="32" spans="1:21" x14ac:dyDescent="0.25">
      <c r="A32" s="1">
        <v>45</v>
      </c>
      <c r="B32" s="1" t="s">
        <v>45</v>
      </c>
      <c r="C32" s="3" t="s">
        <v>46</v>
      </c>
      <c r="D32" s="3" t="s">
        <v>92</v>
      </c>
      <c r="E32" s="1" t="s">
        <v>48</v>
      </c>
      <c r="F32" s="1">
        <v>800</v>
      </c>
      <c r="G32" s="1">
        <v>80</v>
      </c>
      <c r="H32" s="1">
        <v>460</v>
      </c>
      <c r="I32" s="1">
        <v>1300</v>
      </c>
      <c r="J32" s="1">
        <v>2400</v>
      </c>
      <c r="K32" s="1">
        <v>2800</v>
      </c>
      <c r="L32" s="1" t="s">
        <v>49</v>
      </c>
      <c r="N32" s="1" t="s">
        <v>50</v>
      </c>
      <c r="O32" s="1" t="s">
        <v>51</v>
      </c>
      <c r="P32" s="1" t="s">
        <v>52</v>
      </c>
      <c r="Q32" s="1" t="s">
        <v>53</v>
      </c>
      <c r="R32" s="1" t="s">
        <v>54</v>
      </c>
      <c r="S32" s="1" t="s">
        <v>55</v>
      </c>
      <c r="T32" s="1" t="s">
        <v>56</v>
      </c>
      <c r="U32" s="1" t="s">
        <v>59</v>
      </c>
    </row>
    <row r="33" spans="1:21" x14ac:dyDescent="0.25">
      <c r="A33" s="1">
        <v>46</v>
      </c>
      <c r="B33" s="1" t="s">
        <v>45</v>
      </c>
      <c r="C33" s="3" t="s">
        <v>46</v>
      </c>
      <c r="D33" s="3" t="s">
        <v>93</v>
      </c>
      <c r="E33" s="1" t="s">
        <v>62</v>
      </c>
      <c r="F33" s="1">
        <v>400</v>
      </c>
      <c r="G33" s="1">
        <v>50</v>
      </c>
      <c r="H33" s="1">
        <v>100</v>
      </c>
      <c r="I33" s="1">
        <v>150</v>
      </c>
      <c r="J33" s="1">
        <v>200</v>
      </c>
      <c r="K33" s="1">
        <v>300</v>
      </c>
      <c r="N33" s="1" t="s">
        <v>50</v>
      </c>
      <c r="O33" s="1" t="s">
        <v>51</v>
      </c>
      <c r="P33" s="1" t="s">
        <v>52</v>
      </c>
      <c r="Q33" s="1" t="s">
        <v>53</v>
      </c>
      <c r="R33" s="1" t="s">
        <v>54</v>
      </c>
      <c r="S33" s="1" t="s">
        <v>55</v>
      </c>
      <c r="T33" s="1" t="s">
        <v>56</v>
      </c>
      <c r="U33" s="1" t="s">
        <v>59</v>
      </c>
    </row>
    <row r="34" spans="1:21" x14ac:dyDescent="0.25">
      <c r="A34" s="1">
        <v>48</v>
      </c>
      <c r="B34" s="1" t="s">
        <v>45</v>
      </c>
      <c r="C34" s="3" t="s">
        <v>46</v>
      </c>
      <c r="D34" s="3" t="s">
        <v>94</v>
      </c>
      <c r="E34" s="1" t="s">
        <v>48</v>
      </c>
      <c r="F34" s="1">
        <v>900</v>
      </c>
      <c r="G34" s="1">
        <v>90</v>
      </c>
      <c r="H34" s="1">
        <v>500</v>
      </c>
      <c r="I34" s="1">
        <v>1450</v>
      </c>
      <c r="J34" s="1">
        <v>2500</v>
      </c>
      <c r="K34" s="1">
        <v>2950</v>
      </c>
      <c r="L34" s="1" t="s">
        <v>49</v>
      </c>
      <c r="N34" s="1" t="s">
        <v>50</v>
      </c>
      <c r="O34" s="1" t="s">
        <v>51</v>
      </c>
      <c r="P34" s="1" t="s">
        <v>52</v>
      </c>
      <c r="Q34" s="1" t="s">
        <v>53</v>
      </c>
      <c r="R34" s="1" t="s">
        <v>54</v>
      </c>
      <c r="S34" s="1" t="s">
        <v>55</v>
      </c>
      <c r="T34" s="1" t="s">
        <v>56</v>
      </c>
      <c r="U34" s="1" t="s">
        <v>59</v>
      </c>
    </row>
    <row r="35" ht="38.25" customHeight="1" spans="1:21" x14ac:dyDescent="0.25">
      <c r="A35" s="1">
        <v>50</v>
      </c>
      <c r="B35" s="1" t="s">
        <v>45</v>
      </c>
      <c r="C35" s="3" t="s">
        <v>46</v>
      </c>
      <c r="D35" s="3" t="s">
        <v>95</v>
      </c>
      <c r="E35" s="1" t="s">
        <v>48</v>
      </c>
      <c r="F35" s="1">
        <v>1000</v>
      </c>
      <c r="G35" s="1">
        <v>100</v>
      </c>
      <c r="H35" s="1">
        <v>560</v>
      </c>
      <c r="I35" s="1">
        <v>1600</v>
      </c>
      <c r="J35" s="1">
        <v>2650</v>
      </c>
      <c r="K35" s="1">
        <v>3150</v>
      </c>
      <c r="L35" s="1" t="s">
        <v>49</v>
      </c>
      <c r="N35" s="1" t="s">
        <v>50</v>
      </c>
      <c r="O35" s="1" t="s">
        <v>51</v>
      </c>
      <c r="P35" s="1" t="s">
        <v>52</v>
      </c>
      <c r="Q35" s="1" t="s">
        <v>53</v>
      </c>
      <c r="R35" s="1" t="s">
        <v>54</v>
      </c>
      <c r="S35" s="1" t="s">
        <v>55</v>
      </c>
      <c r="T35" s="1" t="s">
        <v>56</v>
      </c>
      <c r="U35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FormatPr defaultRowHeight="15" outlineLevelRow="0" outlineLevelCol="0" x14ac:dyDescent="55"/>
  <cols>
    <col min="1" max="1" width="9.285714285714286" customWidth="1"/>
    <col min="2" max="2" width="20.285714285714285" customWidth="1"/>
    <col min="3" max="3" width="9.285714285714286" customWidth="1"/>
    <col min="4" max="4" width="27" customWidth="1"/>
    <col min="5" max="5" width="11.571428571428571" customWidth="1"/>
    <col min="6" max="6" width="36.857142857142854" customWidth="1"/>
    <col min="7" max="7" width="19.857142857142858" customWidth="1"/>
    <col min="8" max="8" width="15.571428571428571" customWidth="1"/>
    <col min="9" max="9" width="16" customWidth="1"/>
    <col min="10" max="10" width="15.571428571428571" customWidth="1"/>
    <col min="11" max="11" width="36.857142857142854" customWidth="1"/>
    <col min="12" max="12" width="10.571428571428571" customWidth="1"/>
    <col min="13" max="13" width="23.428571428571427" customWidth="1"/>
    <col min="14" max="14" width="26.571428571428573" customWidth="1"/>
    <col min="15" max="15" width="29.142857142857142" customWidth="1"/>
    <col min="16" max="16" width="22.571428571428573" customWidth="1"/>
    <col min="17" max="24" width="13.571428571428571" customWidth="1"/>
  </cols>
  <sheetData>
    <row r="1" spans="1:16" x14ac:dyDescent="0.25">
      <c r="A1" s="1" t="s">
        <v>96</v>
      </c>
      <c r="B1" s="1" t="s">
        <v>24</v>
      </c>
      <c r="C1" s="1" t="s">
        <v>25</v>
      </c>
      <c r="D1" s="1" t="s">
        <v>26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3" t="s">
        <v>43</v>
      </c>
    </row>
    <row r="2" spans="1:16" x14ac:dyDescent="0.25">
      <c r="A2" s="3" t="s">
        <v>44</v>
      </c>
      <c r="B2" s="1" t="s">
        <v>103</v>
      </c>
      <c r="C2" s="3" t="s">
        <v>46</v>
      </c>
      <c r="D2" s="3" t="s">
        <v>47</v>
      </c>
      <c r="E2" s="3">
        <v>60</v>
      </c>
      <c r="F2" s="1" t="s">
        <v>104</v>
      </c>
      <c r="G2" s="1" t="s">
        <v>105</v>
      </c>
      <c r="H2" s="3">
        <v>100</v>
      </c>
      <c r="I2" s="1" t="s">
        <v>106</v>
      </c>
      <c r="J2" s="1">
        <v>500</v>
      </c>
      <c r="K2" s="1" t="s">
        <v>107</v>
      </c>
      <c r="M2" s="1" t="s">
        <v>50</v>
      </c>
      <c r="N2" s="1" t="s">
        <v>51</v>
      </c>
      <c r="O2" s="3" t="s">
        <v>52</v>
      </c>
      <c r="P2" s="3" t="s">
        <v>59</v>
      </c>
    </row>
    <row r="3" spans="1:16" x14ac:dyDescent="0.25">
      <c r="A3" s="3" t="s">
        <v>57</v>
      </c>
      <c r="B3" s="1" t="s">
        <v>103</v>
      </c>
      <c r="C3" s="3" t="s">
        <v>46</v>
      </c>
      <c r="D3" s="3" t="s">
        <v>58</v>
      </c>
      <c r="E3" s="3">
        <v>60</v>
      </c>
      <c r="F3" s="1" t="s">
        <v>104</v>
      </c>
      <c r="G3" s="1" t="s">
        <v>105</v>
      </c>
      <c r="H3" s="3">
        <v>100</v>
      </c>
      <c r="I3" s="1" t="s">
        <v>106</v>
      </c>
      <c r="J3" s="1">
        <v>500</v>
      </c>
      <c r="K3" s="1" t="s">
        <v>107</v>
      </c>
      <c r="M3" s="1" t="s">
        <v>50</v>
      </c>
      <c r="N3" s="1" t="s">
        <v>51</v>
      </c>
      <c r="O3" s="3" t="s">
        <v>52</v>
      </c>
      <c r="P3" s="3" t="s">
        <v>59</v>
      </c>
    </row>
    <row r="4" spans="1:16" x14ac:dyDescent="0.25">
      <c r="A4" s="3" t="s">
        <v>60</v>
      </c>
      <c r="B4" s="1" t="s">
        <v>103</v>
      </c>
      <c r="C4" s="3" t="s">
        <v>46</v>
      </c>
      <c r="D4" s="3" t="s">
        <v>61</v>
      </c>
      <c r="E4" s="3">
        <v>200</v>
      </c>
      <c r="F4" s="1" t="s">
        <v>104</v>
      </c>
      <c r="H4" s="3"/>
      <c r="M4" s="1" t="s">
        <v>50</v>
      </c>
      <c r="N4" s="1" t="s">
        <v>51</v>
      </c>
      <c r="O4" s="3" t="s">
        <v>52</v>
      </c>
      <c r="P4" s="3" t="s">
        <v>59</v>
      </c>
    </row>
    <row r="5" spans="1:16" x14ac:dyDescent="0.25">
      <c r="A5" s="3" t="s">
        <v>63</v>
      </c>
      <c r="B5" s="1" t="s">
        <v>103</v>
      </c>
      <c r="C5" s="3" t="s">
        <v>46</v>
      </c>
      <c r="D5" s="3" t="s">
        <v>64</v>
      </c>
      <c r="E5" s="3">
        <v>100</v>
      </c>
      <c r="F5" s="1" t="s">
        <v>104</v>
      </c>
      <c r="G5" s="1" t="s">
        <v>105</v>
      </c>
      <c r="H5" s="3">
        <v>100</v>
      </c>
      <c r="I5" s="1" t="s">
        <v>106</v>
      </c>
      <c r="J5" s="1">
        <v>500</v>
      </c>
      <c r="K5" s="1" t="s">
        <v>107</v>
      </c>
      <c r="M5" s="1" t="s">
        <v>50</v>
      </c>
      <c r="N5" s="1" t="s">
        <v>51</v>
      </c>
      <c r="O5" s="3" t="s">
        <v>52</v>
      </c>
      <c r="P5" s="3" t="s">
        <v>59</v>
      </c>
    </row>
    <row r="6" spans="1:16" x14ac:dyDescent="0.25">
      <c r="A6" s="3" t="s">
        <v>65</v>
      </c>
      <c r="B6" s="1" t="s">
        <v>103</v>
      </c>
      <c r="C6" s="3" t="s">
        <v>46</v>
      </c>
      <c r="D6" s="3" t="s">
        <v>66</v>
      </c>
      <c r="E6" s="3">
        <v>100</v>
      </c>
      <c r="F6" s="1" t="s">
        <v>104</v>
      </c>
      <c r="G6" s="1" t="s">
        <v>105</v>
      </c>
      <c r="H6" s="3">
        <v>100</v>
      </c>
      <c r="I6" s="1" t="s">
        <v>106</v>
      </c>
      <c r="J6" s="1">
        <v>500</v>
      </c>
      <c r="K6" s="1" t="s">
        <v>107</v>
      </c>
      <c r="M6" s="1" t="s">
        <v>50</v>
      </c>
      <c r="N6" s="1" t="s">
        <v>51</v>
      </c>
      <c r="O6" s="3" t="s">
        <v>52</v>
      </c>
      <c r="P6" s="3" t="s">
        <v>59</v>
      </c>
    </row>
    <row r="7" spans="1:16" x14ac:dyDescent="0.25">
      <c r="A7" s="3">
        <v>10</v>
      </c>
      <c r="B7" s="1" t="s">
        <v>103</v>
      </c>
      <c r="C7" s="3" t="s">
        <v>46</v>
      </c>
      <c r="D7" s="3" t="s">
        <v>67</v>
      </c>
      <c r="E7" s="3">
        <v>120</v>
      </c>
      <c r="F7" s="1" t="s">
        <v>104</v>
      </c>
      <c r="G7" s="1" t="s">
        <v>105</v>
      </c>
      <c r="H7" s="3"/>
      <c r="I7" s="1" t="s">
        <v>106</v>
      </c>
      <c r="K7" s="1" t="s">
        <v>107</v>
      </c>
      <c r="M7" s="1" t="s">
        <v>50</v>
      </c>
      <c r="N7" s="1" t="s">
        <v>51</v>
      </c>
      <c r="O7" s="3" t="s">
        <v>52</v>
      </c>
      <c r="P7" s="3" t="s">
        <v>59</v>
      </c>
    </row>
    <row r="8" spans="1:16" x14ac:dyDescent="0.25">
      <c r="A8" s="3">
        <v>12</v>
      </c>
      <c r="B8" s="1" t="s">
        <v>103</v>
      </c>
      <c r="C8" s="3" t="s">
        <v>46</v>
      </c>
      <c r="D8" s="3" t="s">
        <v>68</v>
      </c>
      <c r="E8" s="3">
        <v>140</v>
      </c>
      <c r="F8" s="1" t="s">
        <v>104</v>
      </c>
      <c r="G8" s="1" t="s">
        <v>105</v>
      </c>
      <c r="H8" s="3">
        <v>200</v>
      </c>
      <c r="I8" s="1" t="s">
        <v>106</v>
      </c>
      <c r="J8" s="1">
        <v>1000</v>
      </c>
      <c r="K8" s="1" t="s">
        <v>107</v>
      </c>
      <c r="M8" s="1" t="s">
        <v>50</v>
      </c>
      <c r="N8" s="1" t="s">
        <v>51</v>
      </c>
      <c r="O8" s="3" t="s">
        <v>52</v>
      </c>
      <c r="P8" s="3" t="s">
        <v>59</v>
      </c>
    </row>
    <row r="9" spans="1:16" x14ac:dyDescent="0.25">
      <c r="A9" s="3">
        <v>13</v>
      </c>
      <c r="B9" s="1" t="s">
        <v>103</v>
      </c>
      <c r="C9" s="3" t="s">
        <v>46</v>
      </c>
      <c r="D9" s="3" t="s">
        <v>69</v>
      </c>
      <c r="E9" s="3">
        <v>150</v>
      </c>
      <c r="F9" s="1" t="s">
        <v>104</v>
      </c>
      <c r="H9" s="3"/>
      <c r="M9" s="1" t="s">
        <v>50</v>
      </c>
      <c r="N9" s="1" t="s">
        <v>51</v>
      </c>
      <c r="O9" s="3" t="s">
        <v>52</v>
      </c>
      <c r="P9" s="3" t="s">
        <v>59</v>
      </c>
    </row>
    <row r="10" spans="1:16" x14ac:dyDescent="0.25">
      <c r="A10" s="3">
        <v>14</v>
      </c>
      <c r="B10" s="1" t="s">
        <v>103</v>
      </c>
      <c r="C10" s="3" t="s">
        <v>46</v>
      </c>
      <c r="D10" s="3" t="s">
        <v>71</v>
      </c>
      <c r="E10" s="3">
        <v>160</v>
      </c>
      <c r="F10" s="1" t="s">
        <v>104</v>
      </c>
      <c r="G10" s="1" t="s">
        <v>105</v>
      </c>
      <c r="H10" s="3">
        <v>200</v>
      </c>
      <c r="I10" s="1" t="s">
        <v>106</v>
      </c>
      <c r="J10" s="1">
        <v>1000</v>
      </c>
      <c r="K10" s="1" t="s">
        <v>107</v>
      </c>
      <c r="M10" s="1" t="s">
        <v>50</v>
      </c>
      <c r="N10" s="1" t="s">
        <v>51</v>
      </c>
      <c r="O10" s="3" t="s">
        <v>52</v>
      </c>
      <c r="P10" s="3" t="s">
        <v>59</v>
      </c>
    </row>
    <row r="11" spans="1:16" x14ac:dyDescent="0.25">
      <c r="A11" s="3">
        <v>16</v>
      </c>
      <c r="B11" s="1" t="s">
        <v>103</v>
      </c>
      <c r="C11" s="3" t="s">
        <v>46</v>
      </c>
      <c r="D11" s="3" t="s">
        <v>72</v>
      </c>
      <c r="E11" s="3">
        <v>200</v>
      </c>
      <c r="F11" s="1" t="s">
        <v>104</v>
      </c>
      <c r="H11" s="3"/>
      <c r="M11" s="1" t="s">
        <v>50</v>
      </c>
      <c r="N11" s="1" t="s">
        <v>51</v>
      </c>
      <c r="O11" s="3" t="s">
        <v>52</v>
      </c>
      <c r="P11" s="3" t="s">
        <v>59</v>
      </c>
    </row>
    <row r="12" spans="1:16" x14ac:dyDescent="0.25">
      <c r="A12" s="3">
        <v>17</v>
      </c>
      <c r="B12" s="1" t="s">
        <v>103</v>
      </c>
      <c r="C12" s="3" t="s">
        <v>46</v>
      </c>
      <c r="D12" s="3" t="s">
        <v>73</v>
      </c>
      <c r="E12" s="3">
        <v>180</v>
      </c>
      <c r="F12" s="1" t="s">
        <v>104</v>
      </c>
      <c r="G12" s="1" t="s">
        <v>105</v>
      </c>
      <c r="H12" s="3">
        <v>200</v>
      </c>
      <c r="I12" s="1" t="s">
        <v>106</v>
      </c>
      <c r="J12" s="1">
        <v>1000</v>
      </c>
      <c r="K12" s="1" t="s">
        <v>107</v>
      </c>
      <c r="M12" s="1" t="s">
        <v>50</v>
      </c>
      <c r="N12" s="1" t="s">
        <v>51</v>
      </c>
      <c r="O12" s="3" t="s">
        <v>52</v>
      </c>
      <c r="P12" s="3" t="s">
        <v>59</v>
      </c>
    </row>
    <row r="13" spans="1:16" x14ac:dyDescent="0.25">
      <c r="A13" s="3">
        <v>18</v>
      </c>
      <c r="B13" s="1" t="s">
        <v>103</v>
      </c>
      <c r="C13" s="3" t="s">
        <v>46</v>
      </c>
      <c r="D13" s="3" t="s">
        <v>74</v>
      </c>
      <c r="E13" s="3">
        <v>180</v>
      </c>
      <c r="F13" s="1" t="s">
        <v>104</v>
      </c>
      <c r="G13" s="1" t="s">
        <v>105</v>
      </c>
      <c r="H13" s="3">
        <v>200</v>
      </c>
      <c r="I13" s="1" t="s">
        <v>106</v>
      </c>
      <c r="J13" s="1">
        <v>1000</v>
      </c>
      <c r="K13" s="1" t="s">
        <v>107</v>
      </c>
      <c r="M13" s="1" t="s">
        <v>50</v>
      </c>
      <c r="N13" s="1" t="s">
        <v>51</v>
      </c>
      <c r="O13" s="3" t="s">
        <v>52</v>
      </c>
      <c r="P13" s="3" t="s">
        <v>59</v>
      </c>
    </row>
    <row r="14" spans="1:16" x14ac:dyDescent="0.25">
      <c r="A14" s="3">
        <v>20</v>
      </c>
      <c r="B14" s="1" t="s">
        <v>103</v>
      </c>
      <c r="C14" s="3" t="s">
        <v>46</v>
      </c>
      <c r="D14" s="3" t="s">
        <v>75</v>
      </c>
      <c r="E14" s="3">
        <v>200</v>
      </c>
      <c r="F14" s="1" t="s">
        <v>104</v>
      </c>
      <c r="G14" s="1" t="s">
        <v>105</v>
      </c>
      <c r="H14" s="3">
        <v>200</v>
      </c>
      <c r="I14" s="1" t="s">
        <v>106</v>
      </c>
      <c r="J14" s="1">
        <v>1000</v>
      </c>
      <c r="K14" s="1" t="s">
        <v>107</v>
      </c>
      <c r="M14" s="1" t="s">
        <v>50</v>
      </c>
      <c r="N14" s="1" t="s">
        <v>51</v>
      </c>
      <c r="O14" s="3" t="s">
        <v>52</v>
      </c>
      <c r="P14" s="3" t="s">
        <v>59</v>
      </c>
    </row>
    <row r="15" spans="1:16" x14ac:dyDescent="0.25">
      <c r="A15" s="3">
        <v>22</v>
      </c>
      <c r="B15" s="1" t="s">
        <v>103</v>
      </c>
      <c r="C15" s="3" t="s">
        <v>46</v>
      </c>
      <c r="D15" s="3" t="s">
        <v>76</v>
      </c>
      <c r="E15" s="3">
        <v>220</v>
      </c>
      <c r="F15" s="1" t="s">
        <v>104</v>
      </c>
      <c r="G15" s="1" t="s">
        <v>105</v>
      </c>
      <c r="H15" s="3">
        <v>300</v>
      </c>
      <c r="I15" s="1" t="s">
        <v>106</v>
      </c>
      <c r="J15" s="1">
        <v>1500</v>
      </c>
      <c r="K15" s="1" t="s">
        <v>107</v>
      </c>
      <c r="M15" s="1" t="s">
        <v>50</v>
      </c>
      <c r="N15" s="1" t="s">
        <v>51</v>
      </c>
      <c r="O15" s="3" t="s">
        <v>52</v>
      </c>
      <c r="P15" s="3" t="s">
        <v>59</v>
      </c>
    </row>
    <row r="16" spans="1:16" x14ac:dyDescent="0.25">
      <c r="A16" s="3">
        <v>23</v>
      </c>
      <c r="B16" s="1" t="s">
        <v>103</v>
      </c>
      <c r="C16" s="3" t="s">
        <v>46</v>
      </c>
      <c r="D16" s="3" t="s">
        <v>77</v>
      </c>
      <c r="E16" s="3">
        <v>220</v>
      </c>
      <c r="F16" s="1" t="s">
        <v>104</v>
      </c>
      <c r="G16" s="1" t="s">
        <v>105</v>
      </c>
      <c r="H16" s="3">
        <v>300</v>
      </c>
      <c r="I16" s="1" t="s">
        <v>106</v>
      </c>
      <c r="J16" s="1">
        <v>1500</v>
      </c>
      <c r="K16" s="1" t="s">
        <v>107</v>
      </c>
      <c r="M16" s="1" t="s">
        <v>50</v>
      </c>
      <c r="N16" s="1" t="s">
        <v>51</v>
      </c>
      <c r="O16" s="3" t="s">
        <v>52</v>
      </c>
      <c r="P16" s="3" t="s">
        <v>59</v>
      </c>
    </row>
    <row r="17" spans="1:16" x14ac:dyDescent="0.25">
      <c r="A17" s="3">
        <v>25</v>
      </c>
      <c r="B17" s="1" t="s">
        <v>103</v>
      </c>
      <c r="C17" s="3" t="s">
        <v>46</v>
      </c>
      <c r="D17" s="3" t="s">
        <v>78</v>
      </c>
      <c r="E17" s="3">
        <v>240</v>
      </c>
      <c r="F17" s="1" t="s">
        <v>104</v>
      </c>
      <c r="G17" s="1" t="s">
        <v>105</v>
      </c>
      <c r="H17" s="3">
        <v>300</v>
      </c>
      <c r="I17" s="1" t="s">
        <v>106</v>
      </c>
      <c r="J17" s="1">
        <v>1500</v>
      </c>
      <c r="K17" s="1" t="s">
        <v>107</v>
      </c>
      <c r="M17" s="1" t="s">
        <v>50</v>
      </c>
      <c r="N17" s="1" t="s">
        <v>51</v>
      </c>
      <c r="O17" s="3" t="s">
        <v>52</v>
      </c>
      <c r="P17" s="3" t="s">
        <v>59</v>
      </c>
    </row>
    <row r="18" spans="1:16" x14ac:dyDescent="0.25">
      <c r="A18" s="3">
        <v>26</v>
      </c>
      <c r="B18" s="1" t="s">
        <v>103</v>
      </c>
      <c r="C18" s="3" t="s">
        <v>46</v>
      </c>
      <c r="D18" s="3" t="s">
        <v>79</v>
      </c>
      <c r="E18" s="3">
        <v>200</v>
      </c>
      <c r="F18" s="1" t="s">
        <v>104</v>
      </c>
      <c r="H18" s="3"/>
      <c r="M18" s="1" t="s">
        <v>50</v>
      </c>
      <c r="N18" s="1" t="s">
        <v>51</v>
      </c>
      <c r="O18" s="3" t="s">
        <v>52</v>
      </c>
      <c r="P18" s="3" t="s">
        <v>59</v>
      </c>
    </row>
    <row r="19" spans="1:16" x14ac:dyDescent="0.25">
      <c r="A19" s="3">
        <v>27</v>
      </c>
      <c r="B19" s="1" t="s">
        <v>103</v>
      </c>
      <c r="C19" s="3" t="s">
        <v>46</v>
      </c>
      <c r="D19" s="3" t="s">
        <v>80</v>
      </c>
      <c r="E19" s="3">
        <v>260</v>
      </c>
      <c r="F19" s="1" t="s">
        <v>104</v>
      </c>
      <c r="G19" s="1" t="s">
        <v>105</v>
      </c>
      <c r="H19" s="3">
        <v>300</v>
      </c>
      <c r="I19" s="1" t="s">
        <v>106</v>
      </c>
      <c r="J19" s="1">
        <v>1500</v>
      </c>
      <c r="K19" s="1" t="s">
        <v>107</v>
      </c>
      <c r="M19" s="1" t="s">
        <v>50</v>
      </c>
      <c r="N19" s="1" t="s">
        <v>51</v>
      </c>
      <c r="O19" s="3" t="s">
        <v>52</v>
      </c>
      <c r="P19" s="3" t="s">
        <v>59</v>
      </c>
    </row>
    <row r="20" spans="1:16" x14ac:dyDescent="0.25">
      <c r="A20" s="3">
        <v>28</v>
      </c>
      <c r="B20" s="1" t="s">
        <v>103</v>
      </c>
      <c r="C20" s="3" t="s">
        <v>46</v>
      </c>
      <c r="D20" s="3" t="s">
        <v>81</v>
      </c>
      <c r="E20" s="3">
        <v>260</v>
      </c>
      <c r="F20" s="1" t="s">
        <v>104</v>
      </c>
      <c r="G20" s="1" t="s">
        <v>105</v>
      </c>
      <c r="H20" s="3">
        <v>300</v>
      </c>
      <c r="I20" s="1" t="s">
        <v>106</v>
      </c>
      <c r="J20" s="1">
        <v>1500</v>
      </c>
      <c r="K20" s="1" t="s">
        <v>107</v>
      </c>
      <c r="M20" s="1" t="s">
        <v>50</v>
      </c>
      <c r="N20" s="1" t="s">
        <v>51</v>
      </c>
      <c r="O20" s="3" t="s">
        <v>52</v>
      </c>
      <c r="P20" s="3" t="s">
        <v>59</v>
      </c>
    </row>
    <row r="21" spans="1:16" x14ac:dyDescent="0.25">
      <c r="A21" s="3">
        <v>29</v>
      </c>
      <c r="B21" s="1" t="s">
        <v>103</v>
      </c>
      <c r="C21" s="3" t="s">
        <v>46</v>
      </c>
      <c r="D21" s="3" t="s">
        <v>82</v>
      </c>
      <c r="E21" s="3">
        <v>150</v>
      </c>
      <c r="F21" s="1" t="s">
        <v>104</v>
      </c>
      <c r="H21" s="3"/>
      <c r="M21" s="1" t="s">
        <v>50</v>
      </c>
      <c r="N21" s="1" t="s">
        <v>51</v>
      </c>
      <c r="O21" s="3" t="s">
        <v>52</v>
      </c>
      <c r="P21" s="3" t="s">
        <v>59</v>
      </c>
    </row>
    <row r="22" spans="1:16" x14ac:dyDescent="0.25">
      <c r="A22" s="3">
        <v>30</v>
      </c>
      <c r="B22" s="1" t="s">
        <v>103</v>
      </c>
      <c r="C22" s="3" t="s">
        <v>46</v>
      </c>
      <c r="D22" s="3" t="s">
        <v>83</v>
      </c>
      <c r="E22" s="3">
        <v>280</v>
      </c>
      <c r="F22" s="1" t="s">
        <v>104</v>
      </c>
      <c r="G22" s="1" t="s">
        <v>105</v>
      </c>
      <c r="H22" s="3">
        <v>300</v>
      </c>
      <c r="I22" s="1" t="s">
        <v>106</v>
      </c>
      <c r="J22" s="1">
        <v>1500</v>
      </c>
      <c r="K22" s="1" t="s">
        <v>107</v>
      </c>
      <c r="M22" s="1" t="s">
        <v>50</v>
      </c>
      <c r="N22" s="1" t="s">
        <v>51</v>
      </c>
      <c r="O22" s="3" t="s">
        <v>52</v>
      </c>
      <c r="P22" s="3" t="s">
        <v>59</v>
      </c>
    </row>
    <row r="23" spans="1:16" x14ac:dyDescent="0.25">
      <c r="A23" s="3">
        <v>32</v>
      </c>
      <c r="B23" s="1" t="s">
        <v>103</v>
      </c>
      <c r="C23" s="3" t="s">
        <v>46</v>
      </c>
      <c r="D23" s="3" t="s">
        <v>108</v>
      </c>
      <c r="E23" s="3">
        <v>300</v>
      </c>
      <c r="F23" s="1" t="s">
        <v>104</v>
      </c>
      <c r="G23" s="1" t="s">
        <v>105</v>
      </c>
      <c r="H23" s="3">
        <v>400</v>
      </c>
      <c r="I23" s="1" t="s">
        <v>106</v>
      </c>
      <c r="J23" s="1">
        <v>2000</v>
      </c>
      <c r="K23" s="1" t="s">
        <v>107</v>
      </c>
      <c r="M23" s="1" t="s">
        <v>50</v>
      </c>
      <c r="N23" s="1" t="s">
        <v>51</v>
      </c>
      <c r="O23" s="3" t="s">
        <v>52</v>
      </c>
      <c r="P23" s="3" t="s">
        <v>59</v>
      </c>
    </row>
    <row r="24" spans="1:16" x14ac:dyDescent="0.25">
      <c r="A24" s="3">
        <v>34</v>
      </c>
      <c r="B24" s="1" t="s">
        <v>103</v>
      </c>
      <c r="C24" s="3" t="s">
        <v>46</v>
      </c>
      <c r="D24" s="3" t="s">
        <v>85</v>
      </c>
      <c r="E24" s="3">
        <v>300</v>
      </c>
      <c r="F24" s="1" t="s">
        <v>104</v>
      </c>
      <c r="G24" s="1" t="s">
        <v>105</v>
      </c>
      <c r="H24" s="3">
        <v>400</v>
      </c>
      <c r="I24" s="1" t="s">
        <v>106</v>
      </c>
      <c r="J24" s="1">
        <v>2000</v>
      </c>
      <c r="K24" s="1" t="s">
        <v>107</v>
      </c>
      <c r="M24" s="1" t="s">
        <v>50</v>
      </c>
      <c r="N24" s="1" t="s">
        <v>51</v>
      </c>
      <c r="O24" s="3" t="s">
        <v>52</v>
      </c>
      <c r="P24" s="3" t="s">
        <v>59</v>
      </c>
    </row>
    <row r="25" spans="1:16" x14ac:dyDescent="0.25">
      <c r="A25" s="3">
        <v>35</v>
      </c>
      <c r="B25" s="1" t="s">
        <v>103</v>
      </c>
      <c r="C25" s="3" t="s">
        <v>46</v>
      </c>
      <c r="D25" s="3" t="s">
        <v>84</v>
      </c>
      <c r="E25" s="3">
        <v>320</v>
      </c>
      <c r="F25" s="1" t="s">
        <v>104</v>
      </c>
      <c r="G25" s="1" t="s">
        <v>105</v>
      </c>
      <c r="H25" s="3">
        <v>400</v>
      </c>
      <c r="I25" s="1" t="s">
        <v>106</v>
      </c>
      <c r="J25" s="1">
        <v>2000</v>
      </c>
      <c r="K25" s="1" t="s">
        <v>107</v>
      </c>
      <c r="M25" s="1" t="s">
        <v>50</v>
      </c>
      <c r="N25" s="1" t="s">
        <v>51</v>
      </c>
      <c r="O25" s="3" t="s">
        <v>52</v>
      </c>
      <c r="P25" s="3" t="s">
        <v>59</v>
      </c>
    </row>
    <row r="26" spans="1:16" x14ac:dyDescent="0.25">
      <c r="A26" s="3">
        <v>36</v>
      </c>
      <c r="B26" s="1" t="s">
        <v>103</v>
      </c>
      <c r="C26" s="3" t="s">
        <v>46</v>
      </c>
      <c r="D26" s="3" t="s">
        <v>86</v>
      </c>
      <c r="E26" s="3">
        <v>200</v>
      </c>
      <c r="F26" s="1" t="s">
        <v>104</v>
      </c>
      <c r="H26" s="3"/>
      <c r="M26" s="1" t="s">
        <v>50</v>
      </c>
      <c r="N26" s="1" t="s">
        <v>51</v>
      </c>
      <c r="O26" s="3" t="s">
        <v>52</v>
      </c>
      <c r="P26" s="3" t="s">
        <v>59</v>
      </c>
    </row>
    <row r="27" spans="1:16" x14ac:dyDescent="0.25">
      <c r="A27" s="3">
        <v>37</v>
      </c>
      <c r="B27" s="1" t="s">
        <v>103</v>
      </c>
      <c r="C27" s="3" t="s">
        <v>46</v>
      </c>
      <c r="D27" s="3" t="s">
        <v>87</v>
      </c>
      <c r="E27" s="3">
        <v>340</v>
      </c>
      <c r="F27" s="1" t="s">
        <v>104</v>
      </c>
      <c r="G27" s="1" t="s">
        <v>105</v>
      </c>
      <c r="H27" s="3">
        <v>400</v>
      </c>
      <c r="I27" s="1" t="s">
        <v>106</v>
      </c>
      <c r="J27" s="1">
        <v>2000</v>
      </c>
      <c r="K27" s="1" t="s">
        <v>107</v>
      </c>
      <c r="M27" s="1" t="s">
        <v>50</v>
      </c>
      <c r="N27" s="1" t="s">
        <v>51</v>
      </c>
      <c r="O27" s="3" t="s">
        <v>52</v>
      </c>
      <c r="P27" s="3" t="s">
        <v>59</v>
      </c>
    </row>
    <row r="28" spans="1:16" x14ac:dyDescent="0.25">
      <c r="A28" s="3">
        <v>39</v>
      </c>
      <c r="B28" s="1" t="s">
        <v>103</v>
      </c>
      <c r="C28" s="3" t="s">
        <v>46</v>
      </c>
      <c r="D28" s="3" t="s">
        <v>88</v>
      </c>
      <c r="E28" s="3">
        <v>340</v>
      </c>
      <c r="F28" s="1" t="s">
        <v>104</v>
      </c>
      <c r="G28" s="1" t="s">
        <v>105</v>
      </c>
      <c r="H28" s="3">
        <v>400</v>
      </c>
      <c r="I28" s="1" t="s">
        <v>106</v>
      </c>
      <c r="J28" s="1">
        <v>2000</v>
      </c>
      <c r="K28" s="1" t="s">
        <v>107</v>
      </c>
      <c r="M28" s="1" t="s">
        <v>50</v>
      </c>
      <c r="N28" s="1" t="s">
        <v>51</v>
      </c>
      <c r="O28" s="3" t="s">
        <v>52</v>
      </c>
      <c r="P28" s="3" t="s">
        <v>59</v>
      </c>
    </row>
    <row r="29" spans="1:16" x14ac:dyDescent="0.25">
      <c r="A29" s="3">
        <v>40</v>
      </c>
      <c r="B29" s="1" t="s">
        <v>103</v>
      </c>
      <c r="C29" s="3" t="s">
        <v>46</v>
      </c>
      <c r="D29" s="3" t="s">
        <v>89</v>
      </c>
      <c r="E29" s="3">
        <v>360</v>
      </c>
      <c r="F29" s="1" t="s">
        <v>104</v>
      </c>
      <c r="G29" s="1" t="s">
        <v>105</v>
      </c>
      <c r="H29" s="3">
        <v>400</v>
      </c>
      <c r="I29" s="1" t="s">
        <v>106</v>
      </c>
      <c r="J29" s="1">
        <v>2000</v>
      </c>
      <c r="K29" s="1" t="s">
        <v>107</v>
      </c>
      <c r="M29" s="1" t="s">
        <v>50</v>
      </c>
      <c r="N29" s="1" t="s">
        <v>51</v>
      </c>
      <c r="O29" s="3" t="s">
        <v>52</v>
      </c>
      <c r="P29" s="3" t="s">
        <v>59</v>
      </c>
    </row>
    <row r="30" spans="1:16" x14ac:dyDescent="0.25">
      <c r="A30" s="3">
        <v>43</v>
      </c>
      <c r="B30" s="1" t="s">
        <v>103</v>
      </c>
      <c r="C30" s="3" t="s">
        <v>46</v>
      </c>
      <c r="D30" s="3" t="s">
        <v>90</v>
      </c>
      <c r="E30" s="3">
        <v>380</v>
      </c>
      <c r="F30" s="1" t="s">
        <v>104</v>
      </c>
      <c r="G30" s="1" t="s">
        <v>105</v>
      </c>
      <c r="H30" s="3">
        <v>500</v>
      </c>
      <c r="I30" s="1" t="s">
        <v>106</v>
      </c>
      <c r="J30" s="1">
        <v>2500</v>
      </c>
      <c r="K30" s="1" t="s">
        <v>107</v>
      </c>
      <c r="M30" s="1" t="s">
        <v>50</v>
      </c>
      <c r="N30" s="1" t="s">
        <v>51</v>
      </c>
      <c r="O30" s="3" t="s">
        <v>52</v>
      </c>
      <c r="P30" s="3" t="s">
        <v>59</v>
      </c>
    </row>
    <row r="31" spans="1:16" x14ac:dyDescent="0.25">
      <c r="A31" s="3">
        <v>44</v>
      </c>
      <c r="B31" s="1" t="s">
        <v>103</v>
      </c>
      <c r="C31" s="3" t="s">
        <v>46</v>
      </c>
      <c r="D31" s="3" t="s">
        <v>91</v>
      </c>
      <c r="E31" s="3">
        <v>150</v>
      </c>
      <c r="F31" s="1" t="s">
        <v>104</v>
      </c>
      <c r="H31" s="3"/>
      <c r="M31" s="1" t="s">
        <v>50</v>
      </c>
      <c r="N31" s="1" t="s">
        <v>51</v>
      </c>
      <c r="O31" s="3" t="s">
        <v>52</v>
      </c>
      <c r="P31" s="3" t="s">
        <v>59</v>
      </c>
    </row>
    <row r="32" spans="1:16" x14ac:dyDescent="0.25">
      <c r="A32" s="3">
        <v>45</v>
      </c>
      <c r="B32" s="1" t="s">
        <v>103</v>
      </c>
      <c r="C32" s="3" t="s">
        <v>46</v>
      </c>
      <c r="D32" s="3" t="s">
        <v>92</v>
      </c>
      <c r="E32" s="3">
        <v>400</v>
      </c>
      <c r="F32" s="1" t="s">
        <v>104</v>
      </c>
      <c r="G32" s="1" t="s">
        <v>105</v>
      </c>
      <c r="H32" s="3">
        <v>500</v>
      </c>
      <c r="I32" s="1" t="s">
        <v>106</v>
      </c>
      <c r="J32" s="1">
        <v>2500</v>
      </c>
      <c r="K32" s="1" t="s">
        <v>107</v>
      </c>
      <c r="M32" s="1" t="s">
        <v>50</v>
      </c>
      <c r="N32" s="1" t="s">
        <v>51</v>
      </c>
      <c r="O32" s="3" t="s">
        <v>52</v>
      </c>
      <c r="P32" s="3" t="s">
        <v>59</v>
      </c>
    </row>
    <row r="33" spans="1:16" x14ac:dyDescent="0.25">
      <c r="A33" s="3">
        <v>46</v>
      </c>
      <c r="B33" s="1" t="s">
        <v>103</v>
      </c>
      <c r="C33" s="3" t="s">
        <v>46</v>
      </c>
      <c r="D33" s="3" t="s">
        <v>93</v>
      </c>
      <c r="E33" s="3">
        <v>200</v>
      </c>
      <c r="F33" s="1" t="s">
        <v>104</v>
      </c>
      <c r="H33" s="3"/>
      <c r="M33" s="1" t="s">
        <v>50</v>
      </c>
      <c r="N33" s="1" t="s">
        <v>51</v>
      </c>
      <c r="O33" s="3" t="s">
        <v>52</v>
      </c>
      <c r="P33" s="3" t="s">
        <v>59</v>
      </c>
    </row>
    <row r="34" spans="1:16" x14ac:dyDescent="0.25">
      <c r="A34" s="3">
        <v>48</v>
      </c>
      <c r="B34" s="1" t="s">
        <v>103</v>
      </c>
      <c r="C34" s="3" t="s">
        <v>46</v>
      </c>
      <c r="D34" s="3" t="s">
        <v>94</v>
      </c>
      <c r="E34" s="3">
        <v>450</v>
      </c>
      <c r="F34" s="1" t="s">
        <v>104</v>
      </c>
      <c r="G34" s="1" t="s">
        <v>105</v>
      </c>
      <c r="H34" s="3">
        <v>500</v>
      </c>
      <c r="I34" s="1" t="s">
        <v>106</v>
      </c>
      <c r="J34" s="1">
        <v>2500</v>
      </c>
      <c r="K34" s="1" t="s">
        <v>107</v>
      </c>
      <c r="M34" s="1" t="s">
        <v>50</v>
      </c>
      <c r="N34" s="1" t="s">
        <v>51</v>
      </c>
      <c r="O34" s="3" t="s">
        <v>52</v>
      </c>
      <c r="P34" s="3" t="s">
        <v>59</v>
      </c>
    </row>
    <row r="35" spans="1:16" x14ac:dyDescent="0.25">
      <c r="A35" s="3">
        <v>50</v>
      </c>
      <c r="B35" s="1" t="s">
        <v>103</v>
      </c>
      <c r="C35" s="3" t="s">
        <v>46</v>
      </c>
      <c r="D35" s="3" t="s">
        <v>109</v>
      </c>
      <c r="E35" s="3">
        <v>500</v>
      </c>
      <c r="F35" s="1" t="s">
        <v>104</v>
      </c>
      <c r="G35" s="1" t="s">
        <v>105</v>
      </c>
      <c r="H35" s="3">
        <v>500</v>
      </c>
      <c r="I35" s="1" t="s">
        <v>106</v>
      </c>
      <c r="J35" s="1">
        <v>2500</v>
      </c>
      <c r="K35" s="1" t="s">
        <v>107</v>
      </c>
      <c r="M35" s="1" t="s">
        <v>50</v>
      </c>
      <c r="N35" s="1" t="s">
        <v>51</v>
      </c>
      <c r="O35" s="3" t="s">
        <v>52</v>
      </c>
      <c r="P35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3" width="9.285714285714286" customWidth="1"/>
    <col min="4" max="4" width="25.857142857142858" customWidth="1"/>
    <col min="5" max="7" width="9.285714285714286" customWidth="1"/>
    <col min="8" max="8" width="13.571428571428571" customWidth="1"/>
    <col min="9" max="9" width="9.285714285714286" customWidth="1"/>
    <col min="10" max="10" width="9.571428571428571" customWidth="1"/>
    <col min="11" max="24" width="13.571428571428571" customWidth="1"/>
  </cols>
  <sheetData>
    <row r="1" spans="1:10" x14ac:dyDescent="0.25">
      <c r="A1" s="1" t="s">
        <v>96</v>
      </c>
      <c r="B1" s="1" t="s">
        <v>24</v>
      </c>
      <c r="C1" s="1" t="s">
        <v>25</v>
      </c>
      <c r="D1" s="1" t="s">
        <v>26</v>
      </c>
      <c r="E1" s="1" t="s">
        <v>98</v>
      </c>
      <c r="F1" s="1" t="s">
        <v>36</v>
      </c>
      <c r="G1" s="1" t="s">
        <v>37</v>
      </c>
      <c r="H1" s="1" t="s">
        <v>38</v>
      </c>
      <c r="I1" s="1" t="s">
        <v>110</v>
      </c>
      <c r="J1" s="4" t="s">
        <v>111</v>
      </c>
    </row>
    <row r="2" spans="1:10" x14ac:dyDescent="0.25">
      <c r="A2" s="3" t="s">
        <v>44</v>
      </c>
      <c r="B2" s="1" t="s">
        <v>112</v>
      </c>
      <c r="C2" s="3" t="s">
        <v>46</v>
      </c>
      <c r="D2" s="3" t="s">
        <v>47</v>
      </c>
      <c r="E2" s="1" t="s">
        <v>98</v>
      </c>
      <c r="J2" s="4"/>
    </row>
    <row r="3" spans="1:10" x14ac:dyDescent="0.25">
      <c r="A3" s="3" t="s">
        <v>57</v>
      </c>
      <c r="B3" s="1" t="s">
        <v>112</v>
      </c>
      <c r="C3" s="3" t="s">
        <v>46</v>
      </c>
      <c r="D3" s="3" t="s">
        <v>58</v>
      </c>
      <c r="J3" s="4"/>
    </row>
    <row r="4" spans="1:10" x14ac:dyDescent="0.25">
      <c r="A4" s="3" t="s">
        <v>60</v>
      </c>
      <c r="B4" s="1" t="s">
        <v>112</v>
      </c>
      <c r="C4" s="3" t="s">
        <v>46</v>
      </c>
      <c r="D4" s="3" t="s">
        <v>61</v>
      </c>
      <c r="J4" s="4"/>
    </row>
    <row r="5" spans="1:10" x14ac:dyDescent="0.25">
      <c r="A5" s="3" t="s">
        <v>63</v>
      </c>
      <c r="B5" s="1" t="s">
        <v>112</v>
      </c>
      <c r="C5" s="3" t="s">
        <v>46</v>
      </c>
      <c r="D5" s="3" t="s">
        <v>64</v>
      </c>
      <c r="J5" s="4"/>
    </row>
    <row r="6" spans="1:10" x14ac:dyDescent="0.25">
      <c r="A6" s="3" t="s">
        <v>65</v>
      </c>
      <c r="B6" s="1" t="s">
        <v>112</v>
      </c>
      <c r="C6" s="3" t="s">
        <v>46</v>
      </c>
      <c r="D6" s="3" t="s">
        <v>66</v>
      </c>
      <c r="J6" s="4"/>
    </row>
    <row r="7" spans="1:10" x14ac:dyDescent="0.25">
      <c r="A7" s="3">
        <v>10</v>
      </c>
      <c r="B7" s="1" t="s">
        <v>112</v>
      </c>
      <c r="C7" s="3" t="s">
        <v>46</v>
      </c>
      <c r="D7" s="3" t="s">
        <v>67</v>
      </c>
      <c r="J7" s="4"/>
    </row>
    <row r="8" spans="1:10" x14ac:dyDescent="0.25">
      <c r="A8" s="3">
        <v>12</v>
      </c>
      <c r="B8" s="1" t="s">
        <v>112</v>
      </c>
      <c r="C8" s="3" t="s">
        <v>46</v>
      </c>
      <c r="D8" s="3" t="s">
        <v>68</v>
      </c>
      <c r="J8" s="4"/>
    </row>
    <row r="9" spans="1:10" x14ac:dyDescent="0.25">
      <c r="A9" s="3">
        <v>13</v>
      </c>
      <c r="B9" s="1" t="s">
        <v>112</v>
      </c>
      <c r="C9" s="3" t="s">
        <v>46</v>
      </c>
      <c r="D9" s="3" t="s">
        <v>69</v>
      </c>
      <c r="J9" s="4"/>
    </row>
    <row r="10" spans="1:10" x14ac:dyDescent="0.25">
      <c r="A10" s="3">
        <v>14</v>
      </c>
      <c r="B10" s="1" t="s">
        <v>112</v>
      </c>
      <c r="C10" s="3" t="s">
        <v>46</v>
      </c>
      <c r="D10" s="3" t="s">
        <v>71</v>
      </c>
      <c r="J10" s="4"/>
    </row>
    <row r="11" spans="1:10" x14ac:dyDescent="0.25">
      <c r="A11" s="3">
        <v>16</v>
      </c>
      <c r="B11" s="1" t="s">
        <v>112</v>
      </c>
      <c r="C11" s="3" t="s">
        <v>46</v>
      </c>
      <c r="D11" s="3" t="s">
        <v>72</v>
      </c>
      <c r="J11" s="4"/>
    </row>
    <row r="12" spans="1:10" x14ac:dyDescent="0.25">
      <c r="A12" s="3">
        <v>17</v>
      </c>
      <c r="B12" s="1" t="s">
        <v>112</v>
      </c>
      <c r="C12" s="3" t="s">
        <v>46</v>
      </c>
      <c r="D12" s="3" t="s">
        <v>73</v>
      </c>
      <c r="J12" s="4"/>
    </row>
    <row r="13" spans="1:10" x14ac:dyDescent="0.25">
      <c r="A13" s="3">
        <v>18</v>
      </c>
      <c r="B13" s="1" t="s">
        <v>112</v>
      </c>
      <c r="C13" s="3" t="s">
        <v>46</v>
      </c>
      <c r="D13" s="3" t="s">
        <v>74</v>
      </c>
      <c r="J13" s="4"/>
    </row>
    <row r="14" spans="1:10" x14ac:dyDescent="0.25">
      <c r="A14" s="3">
        <v>20</v>
      </c>
      <c r="B14" s="1" t="s">
        <v>112</v>
      </c>
      <c r="C14" s="3" t="s">
        <v>46</v>
      </c>
      <c r="D14" s="3" t="s">
        <v>75</v>
      </c>
      <c r="J14" s="4"/>
    </row>
    <row r="15" spans="1:10" x14ac:dyDescent="0.25">
      <c r="A15" s="3">
        <v>22</v>
      </c>
      <c r="B15" s="1" t="s">
        <v>112</v>
      </c>
      <c r="C15" s="3" t="s">
        <v>46</v>
      </c>
      <c r="D15" s="3" t="s">
        <v>76</v>
      </c>
      <c r="J15" s="4"/>
    </row>
    <row r="16" spans="1:10" x14ac:dyDescent="0.25">
      <c r="A16" s="3">
        <v>23</v>
      </c>
      <c r="B16" s="1" t="s">
        <v>112</v>
      </c>
      <c r="C16" s="3" t="s">
        <v>46</v>
      </c>
      <c r="D16" s="3" t="s">
        <v>77</v>
      </c>
      <c r="J16" s="4"/>
    </row>
    <row r="17" spans="1:10" x14ac:dyDescent="0.25">
      <c r="A17" s="3">
        <v>25</v>
      </c>
      <c r="B17" s="1" t="s">
        <v>112</v>
      </c>
      <c r="C17" s="3" t="s">
        <v>46</v>
      </c>
      <c r="D17" s="3" t="s">
        <v>78</v>
      </c>
      <c r="J17" s="4"/>
    </row>
    <row r="18" spans="1:10" x14ac:dyDescent="0.25">
      <c r="A18" s="3">
        <v>26</v>
      </c>
      <c r="B18" s="1" t="s">
        <v>112</v>
      </c>
      <c r="C18" s="3" t="s">
        <v>46</v>
      </c>
      <c r="D18" s="3" t="s">
        <v>79</v>
      </c>
      <c r="J18" s="4"/>
    </row>
    <row r="19" spans="1:10" x14ac:dyDescent="0.25">
      <c r="A19" s="3">
        <v>27</v>
      </c>
      <c r="B19" s="1" t="s">
        <v>112</v>
      </c>
      <c r="C19" s="3" t="s">
        <v>46</v>
      </c>
      <c r="D19" s="3" t="s">
        <v>80</v>
      </c>
      <c r="J19" s="4"/>
    </row>
    <row r="20" spans="1:10" x14ac:dyDescent="0.25">
      <c r="A20" s="3">
        <v>28</v>
      </c>
      <c r="B20" s="1" t="s">
        <v>112</v>
      </c>
      <c r="C20" s="3" t="s">
        <v>46</v>
      </c>
      <c r="D20" s="3" t="s">
        <v>81</v>
      </c>
      <c r="J20" s="4"/>
    </row>
    <row r="21" spans="1:10" x14ac:dyDescent="0.25">
      <c r="A21" s="3">
        <v>29</v>
      </c>
      <c r="B21" s="1" t="s">
        <v>112</v>
      </c>
      <c r="C21" s="3" t="s">
        <v>46</v>
      </c>
      <c r="D21" s="3" t="s">
        <v>82</v>
      </c>
      <c r="J21" s="4"/>
    </row>
    <row r="22" spans="1:10" x14ac:dyDescent="0.25">
      <c r="A22" s="3">
        <v>30</v>
      </c>
      <c r="B22" s="1" t="s">
        <v>112</v>
      </c>
      <c r="C22" s="3" t="s">
        <v>46</v>
      </c>
      <c r="D22" s="3" t="s">
        <v>83</v>
      </c>
      <c r="J22" s="4"/>
    </row>
    <row r="23" spans="1:10" x14ac:dyDescent="0.25">
      <c r="A23" s="3">
        <v>32</v>
      </c>
      <c r="B23" s="1" t="s">
        <v>112</v>
      </c>
      <c r="C23" s="3" t="s">
        <v>46</v>
      </c>
      <c r="D23" s="3" t="s">
        <v>108</v>
      </c>
      <c r="J23" s="4"/>
    </row>
    <row r="24" spans="1:10" x14ac:dyDescent="0.25">
      <c r="A24" s="3">
        <v>34</v>
      </c>
      <c r="B24" s="1" t="s">
        <v>112</v>
      </c>
      <c r="C24" s="3" t="s">
        <v>46</v>
      </c>
      <c r="D24" s="3" t="s">
        <v>85</v>
      </c>
      <c r="J24" s="4"/>
    </row>
    <row r="25" spans="1:10" x14ac:dyDescent="0.25">
      <c r="A25" s="3">
        <v>35</v>
      </c>
      <c r="B25" s="1" t="s">
        <v>112</v>
      </c>
      <c r="C25" s="3" t="s">
        <v>46</v>
      </c>
      <c r="D25" s="3" t="s">
        <v>84</v>
      </c>
      <c r="J25" s="4"/>
    </row>
    <row r="26" spans="1:10" x14ac:dyDescent="0.25">
      <c r="A26" s="3">
        <v>36</v>
      </c>
      <c r="B26" s="1" t="s">
        <v>112</v>
      </c>
      <c r="C26" s="3" t="s">
        <v>46</v>
      </c>
      <c r="D26" s="3" t="s">
        <v>86</v>
      </c>
      <c r="J26" s="4"/>
    </row>
    <row r="27" spans="1:10" x14ac:dyDescent="0.25">
      <c r="A27" s="3">
        <v>37</v>
      </c>
      <c r="B27" s="1" t="s">
        <v>112</v>
      </c>
      <c r="C27" s="3" t="s">
        <v>46</v>
      </c>
      <c r="D27" s="3" t="s">
        <v>87</v>
      </c>
      <c r="J27" s="4"/>
    </row>
    <row r="28" spans="1:10" x14ac:dyDescent="0.25">
      <c r="A28" s="3">
        <v>39</v>
      </c>
      <c r="B28" s="1" t="s">
        <v>112</v>
      </c>
      <c r="C28" s="3" t="s">
        <v>46</v>
      </c>
      <c r="D28" s="3" t="s">
        <v>88</v>
      </c>
      <c r="J28" s="4"/>
    </row>
    <row r="29" spans="1:10" x14ac:dyDescent="0.25">
      <c r="A29" s="3">
        <v>40</v>
      </c>
      <c r="B29" s="1" t="s">
        <v>112</v>
      </c>
      <c r="C29" s="3" t="s">
        <v>46</v>
      </c>
      <c r="D29" s="3" t="s">
        <v>89</v>
      </c>
      <c r="J29" s="4"/>
    </row>
    <row r="30" spans="1:10" x14ac:dyDescent="0.25">
      <c r="A30" s="3">
        <v>43</v>
      </c>
      <c r="B30" s="1" t="s">
        <v>112</v>
      </c>
      <c r="C30" s="3" t="s">
        <v>46</v>
      </c>
      <c r="D30" s="3" t="s">
        <v>90</v>
      </c>
      <c r="J30" s="4"/>
    </row>
    <row r="31" spans="1:10" x14ac:dyDescent="0.25">
      <c r="A31" s="3">
        <v>44</v>
      </c>
      <c r="B31" s="1" t="s">
        <v>112</v>
      </c>
      <c r="C31" s="3" t="s">
        <v>46</v>
      </c>
      <c r="D31" s="3" t="s">
        <v>91</v>
      </c>
      <c r="J31" s="4"/>
    </row>
    <row r="32" spans="1:10" x14ac:dyDescent="0.25">
      <c r="A32" s="3">
        <v>45</v>
      </c>
      <c r="B32" s="1" t="s">
        <v>112</v>
      </c>
      <c r="C32" s="3" t="s">
        <v>46</v>
      </c>
      <c r="D32" s="3" t="s">
        <v>92</v>
      </c>
      <c r="J32" s="4"/>
    </row>
    <row r="33" spans="1:10" x14ac:dyDescent="0.25">
      <c r="A33" s="3">
        <v>46</v>
      </c>
      <c r="B33" s="1" t="s">
        <v>112</v>
      </c>
      <c r="C33" s="3" t="s">
        <v>46</v>
      </c>
      <c r="D33" s="3" t="s">
        <v>93</v>
      </c>
      <c r="J33" s="4"/>
    </row>
    <row r="34" spans="1:10" x14ac:dyDescent="0.25">
      <c r="A34" s="3">
        <v>48</v>
      </c>
      <c r="B34" s="1" t="s">
        <v>112</v>
      </c>
      <c r="C34" s="3" t="s">
        <v>46</v>
      </c>
      <c r="D34" s="3" t="s">
        <v>94</v>
      </c>
      <c r="J34" s="4"/>
    </row>
    <row r="35" spans="1:10" x14ac:dyDescent="0.25">
      <c r="A35" s="3">
        <v>50</v>
      </c>
      <c r="B35" s="1" t="s">
        <v>112</v>
      </c>
      <c r="C35" s="3" t="s">
        <v>46</v>
      </c>
      <c r="D35" s="3" t="s">
        <v>109</v>
      </c>
      <c r="J35" s="4"/>
    </row>
    <row r="36" spans="10:10" x14ac:dyDescent="0.25">
      <c r="J36" s="4"/>
    </row>
    <row r="37" spans="10:10" x14ac:dyDescent="0.25">
      <c r="J37" s="4"/>
    </row>
    <row r="38" spans="10:10" x14ac:dyDescent="0.25">
      <c r="J38" s="4"/>
    </row>
    <row r="39" spans="10:10" x14ac:dyDescent="0.25">
      <c r="J39" s="4"/>
    </row>
    <row r="40" spans="10:10" x14ac:dyDescent="0.25">
      <c r="J40" s="4"/>
    </row>
    <row r="41" spans="10:10" x14ac:dyDescent="0.25">
      <c r="J41" s="4"/>
    </row>
    <row r="42" spans="10:10" x14ac:dyDescent="0.25">
      <c r="J42" s="4"/>
    </row>
    <row r="43" spans="10:10" x14ac:dyDescent="0.25">
      <c r="J43" s="4"/>
    </row>
    <row r="44" spans="10:10" x14ac:dyDescent="0.25">
      <c r="J44" s="4"/>
    </row>
    <row r="45" spans="10:10" x14ac:dyDescent="0.25">
      <c r="J45" s="4"/>
    </row>
    <row r="46" spans="10:10" x14ac:dyDescent="0.25">
      <c r="J46" s="4"/>
    </row>
    <row r="47" spans="10:10" x14ac:dyDescent="0.25">
      <c r="J47" s="4"/>
    </row>
    <row r="48" spans="10:10" x14ac:dyDescent="0.25">
      <c r="J48" s="4"/>
    </row>
    <row r="49" spans="10:10" x14ac:dyDescent="0.25">
      <c r="J49" s="4"/>
    </row>
    <row r="50" spans="10:10" x14ac:dyDescent="0.25">
      <c r="J50" s="4"/>
    </row>
    <row r="51" spans="10:10" x14ac:dyDescent="0.25">
      <c r="J51" s="4"/>
    </row>
    <row r="52" spans="10:10" x14ac:dyDescent="0.25">
      <c r="J52" s="4"/>
    </row>
    <row r="53" spans="10:10" x14ac:dyDescent="0.25">
      <c r="J53" s="4"/>
    </row>
    <row r="54" spans="10:10" x14ac:dyDescent="0.25">
      <c r="J54" s="4"/>
    </row>
    <row r="55" spans="10:10" x14ac:dyDescent="0.25">
      <c r="J55" s="4"/>
    </row>
    <row r="56" spans="10:10" x14ac:dyDescent="0.25">
      <c r="J56" s="4"/>
    </row>
    <row r="57" spans="10:10" x14ac:dyDescent="0.25">
      <c r="J57" s="4"/>
    </row>
    <row r="58" spans="10:10" x14ac:dyDescent="0.25">
      <c r="J58" s="4"/>
    </row>
    <row r="59" spans="10:10" x14ac:dyDescent="0.25">
      <c r="J59" s="4"/>
    </row>
    <row r="60" spans="10:10" x14ac:dyDescent="0.25">
      <c r="J60" s="4"/>
    </row>
    <row r="61" spans="10:10" x14ac:dyDescent="0.25">
      <c r="J61" s="4"/>
    </row>
    <row r="62" spans="10:10" x14ac:dyDescent="0.25">
      <c r="J62" s="4"/>
    </row>
    <row r="63" spans="10:10" x14ac:dyDescent="0.25">
      <c r="J63" s="4"/>
    </row>
    <row r="64" spans="10:10" x14ac:dyDescent="0.25">
      <c r="J64" s="4"/>
    </row>
    <row r="65" spans="10:10" x14ac:dyDescent="0.25">
      <c r="J65" s="4"/>
    </row>
    <row r="66" spans="10:10" x14ac:dyDescent="0.25">
      <c r="J66" s="4"/>
    </row>
    <row r="67" spans="10:10" x14ac:dyDescent="0.25">
      <c r="J67" s="4"/>
    </row>
    <row r="68" spans="10:10" x14ac:dyDescent="0.25">
      <c r="J68" s="4"/>
    </row>
    <row r="69" spans="10:10" x14ac:dyDescent="0.25">
      <c r="J69" s="4"/>
    </row>
    <row r="70" spans="10:10" x14ac:dyDescent="0.25">
      <c r="J70" s="4"/>
    </row>
    <row r="71" spans="10:10" x14ac:dyDescent="0.25">
      <c r="J71" s="4"/>
    </row>
    <row r="72" spans="10:10" x14ac:dyDescent="0.25">
      <c r="J72" s="4"/>
    </row>
    <row r="73" spans="10:10" x14ac:dyDescent="0.25">
      <c r="J73" s="4"/>
    </row>
    <row r="74" spans="10:10" x14ac:dyDescent="0.25">
      <c r="J74" s="4"/>
    </row>
    <row r="75" spans="10:10" x14ac:dyDescent="0.25">
      <c r="J75" s="4"/>
    </row>
    <row r="76" spans="10:10" x14ac:dyDescent="0.25">
      <c r="J76" s="4"/>
    </row>
    <row r="77" spans="10:10" x14ac:dyDescent="0.25">
      <c r="J77" s="4"/>
    </row>
    <row r="78" spans="10:10" x14ac:dyDescent="0.25">
      <c r="J78" s="4"/>
    </row>
    <row r="79" spans="10:10" x14ac:dyDescent="0.25">
      <c r="J79" s="4"/>
    </row>
    <row r="80" spans="10:10" x14ac:dyDescent="0.25">
      <c r="J80" s="4"/>
    </row>
    <row r="81" spans="10:10" x14ac:dyDescent="0.25">
      <c r="J81" s="4"/>
    </row>
    <row r="82" spans="10:10" x14ac:dyDescent="0.25">
      <c r="J82" s="4"/>
    </row>
    <row r="83" spans="10:10" x14ac:dyDescent="0.25">
      <c r="J83" s="4"/>
    </row>
    <row r="84" spans="10:10" x14ac:dyDescent="0.25">
      <c r="J84" s="4"/>
    </row>
    <row r="85" spans="10:10" x14ac:dyDescent="0.25">
      <c r="J85" s="4"/>
    </row>
    <row r="86" spans="10:10" x14ac:dyDescent="0.25">
      <c r="J86" s="4"/>
    </row>
    <row r="87" spans="10:10" x14ac:dyDescent="0.25">
      <c r="J87" s="4"/>
    </row>
    <row r="88" spans="10:10" x14ac:dyDescent="0.25">
      <c r="J88" s="4"/>
    </row>
    <row r="89" spans="10:10" x14ac:dyDescent="0.25">
      <c r="J89" s="4"/>
    </row>
    <row r="90" spans="10:10" x14ac:dyDescent="0.25">
      <c r="J90" s="4"/>
    </row>
    <row r="91" spans="10:10" x14ac:dyDescent="0.25">
      <c r="J91" s="4"/>
    </row>
    <row r="92" spans="10:10" x14ac:dyDescent="0.25">
      <c r="J92" s="4"/>
    </row>
    <row r="93" spans="10:10" x14ac:dyDescent="0.25">
      <c r="J93" s="4"/>
    </row>
    <row r="94" spans="10:10" x14ac:dyDescent="0.25">
      <c r="J94" s="4"/>
    </row>
    <row r="95" spans="10:10" x14ac:dyDescent="0.25">
      <c r="J95" s="4"/>
    </row>
    <row r="96" spans="10:10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  <row r="103" spans="10:10" x14ac:dyDescent="0.25">
      <c r="J103" s="4"/>
    </row>
    <row r="104" spans="10:10" x14ac:dyDescent="0.25">
      <c r="J104" s="4"/>
    </row>
    <row r="105" spans="10:10" x14ac:dyDescent="0.25">
      <c r="J105" s="4"/>
    </row>
    <row r="106" spans="10:10" x14ac:dyDescent="0.25">
      <c r="J106" s="4"/>
    </row>
    <row r="107" spans="10:10" x14ac:dyDescent="0.25">
      <c r="J107" s="4"/>
    </row>
    <row r="108" spans="10:10" x14ac:dyDescent="0.25">
      <c r="J108" s="4"/>
    </row>
    <row r="109" spans="10:10" x14ac:dyDescent="0.25">
      <c r="J109" s="4"/>
    </row>
    <row r="110" spans="10:10" x14ac:dyDescent="0.25">
      <c r="J110" s="4"/>
    </row>
    <row r="111" spans="10:10" x14ac:dyDescent="0.25">
      <c r="J111" s="4"/>
    </row>
    <row r="112" spans="10:10" x14ac:dyDescent="0.25">
      <c r="J112" s="4"/>
    </row>
    <row r="113" spans="10:10" x14ac:dyDescent="0.25">
      <c r="J113" s="4"/>
    </row>
    <row r="114" spans="10:10" x14ac:dyDescent="0.25">
      <c r="J114" s="4"/>
    </row>
    <row r="115" spans="10:10" x14ac:dyDescent="0.25">
      <c r="J115" s="4"/>
    </row>
    <row r="116" spans="10:10" x14ac:dyDescent="0.25">
      <c r="J116" s="4"/>
    </row>
    <row r="117" spans="10:10" x14ac:dyDescent="0.25">
      <c r="J117" s="4"/>
    </row>
    <row r="118" spans="10:10" x14ac:dyDescent="0.25">
      <c r="J118" s="4"/>
    </row>
    <row r="119" spans="10:10" x14ac:dyDescent="0.25">
      <c r="J119" s="4"/>
    </row>
    <row r="120" spans="10:10" x14ac:dyDescent="0.25">
      <c r="J120" s="4"/>
    </row>
    <row r="121" spans="10:10" x14ac:dyDescent="0.25">
      <c r="J121" s="4"/>
    </row>
    <row r="122" spans="10:10" x14ac:dyDescent="0.25">
      <c r="J122" s="4"/>
    </row>
    <row r="123" spans="10:10" x14ac:dyDescent="0.25">
      <c r="J123" s="4"/>
    </row>
    <row r="124" spans="10:10" x14ac:dyDescent="0.25">
      <c r="J124" s="4"/>
    </row>
    <row r="125" spans="10:10" x14ac:dyDescent="0.25">
      <c r="J125" s="4"/>
    </row>
    <row r="126" spans="10:10" x14ac:dyDescent="0.25">
      <c r="J126" s="4"/>
    </row>
    <row r="127" spans="10:10" x14ac:dyDescent="0.25">
      <c r="J127" s="4"/>
    </row>
    <row r="128" spans="10:10" x14ac:dyDescent="0.25">
      <c r="J128" s="4"/>
    </row>
    <row r="129" spans="10:10" x14ac:dyDescent="0.25">
      <c r="J129" s="4"/>
    </row>
    <row r="130" spans="10:10" x14ac:dyDescent="0.25">
      <c r="J130" s="4"/>
    </row>
    <row r="131" spans="10:10" x14ac:dyDescent="0.25">
      <c r="J131" s="4"/>
    </row>
    <row r="132" spans="10:10" x14ac:dyDescent="0.25">
      <c r="J132" s="4"/>
    </row>
    <row r="133" spans="10:10" x14ac:dyDescent="0.25">
      <c r="J133" s="4"/>
    </row>
    <row r="134" spans="10:10" x14ac:dyDescent="0.25">
      <c r="J134" s="4"/>
    </row>
    <row r="135" spans="10:10" x14ac:dyDescent="0.25">
      <c r="J135" s="4"/>
    </row>
    <row r="136" spans="10:10" x14ac:dyDescent="0.25">
      <c r="J136" s="4"/>
    </row>
    <row r="137" spans="10:10" x14ac:dyDescent="0.25">
      <c r="J137" s="4"/>
    </row>
    <row r="138" spans="10:10" x14ac:dyDescent="0.25">
      <c r="J138" s="4"/>
    </row>
    <row r="139" spans="10:10" x14ac:dyDescent="0.25">
      <c r="J139" s="4"/>
    </row>
    <row r="140" spans="10:10" x14ac:dyDescent="0.25">
      <c r="J140" s="4"/>
    </row>
    <row r="141" spans="10:10" x14ac:dyDescent="0.25">
      <c r="J141" s="4"/>
    </row>
    <row r="142" spans="10:10" x14ac:dyDescent="0.25">
      <c r="J142" s="4"/>
    </row>
    <row r="143" spans="10:10" x14ac:dyDescent="0.25">
      <c r="J143" s="4"/>
    </row>
    <row r="144" spans="10:10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  <row r="166" spans="10:10" x14ac:dyDescent="0.25">
      <c r="J166" s="4"/>
    </row>
    <row r="167" spans="10:10" x14ac:dyDescent="0.25">
      <c r="J167" s="4"/>
    </row>
    <row r="168" spans="10:10" x14ac:dyDescent="0.25">
      <c r="J168" s="4"/>
    </row>
    <row r="169" spans="10:10" x14ac:dyDescent="0.25">
      <c r="J169" s="4"/>
    </row>
    <row r="170" spans="10:10" x14ac:dyDescent="0.25">
      <c r="J170" s="4"/>
    </row>
    <row r="171" spans="10:10" x14ac:dyDescent="0.25">
      <c r="J171" s="4"/>
    </row>
    <row r="172" spans="10:10" x14ac:dyDescent="0.25">
      <c r="J172" s="4"/>
    </row>
    <row r="173" spans="10:10" x14ac:dyDescent="0.25">
      <c r="J173" s="4"/>
    </row>
    <row r="174" spans="10:10" x14ac:dyDescent="0.25">
      <c r="J174" s="4"/>
    </row>
    <row r="175" spans="10:10" x14ac:dyDescent="0.25">
      <c r="J175" s="4"/>
    </row>
    <row r="176" spans="10:10" x14ac:dyDescent="0.25">
      <c r="J176" s="4"/>
    </row>
    <row r="177" spans="10:10" x14ac:dyDescent="0.25">
      <c r="J177" s="4"/>
    </row>
    <row r="178" spans="10:10" x14ac:dyDescent="0.25">
      <c r="J178" s="4"/>
    </row>
    <row r="179" spans="10:10" x14ac:dyDescent="0.25">
      <c r="J179" s="4"/>
    </row>
    <row r="180" spans="10:10" x14ac:dyDescent="0.25">
      <c r="J180" s="4"/>
    </row>
    <row r="181" spans="10:10" x14ac:dyDescent="0.25">
      <c r="J181" s="4"/>
    </row>
    <row r="182" spans="10:10" x14ac:dyDescent="0.25">
      <c r="J182" s="4"/>
    </row>
    <row r="183" spans="10:10" x14ac:dyDescent="0.25">
      <c r="J183" s="4"/>
    </row>
    <row r="184" spans="10:10" x14ac:dyDescent="0.25">
      <c r="J184" s="4"/>
    </row>
    <row r="185" spans="10:10" x14ac:dyDescent="0.25">
      <c r="J185" s="4"/>
    </row>
    <row r="186" spans="10:10" x14ac:dyDescent="0.25">
      <c r="J186" s="4"/>
    </row>
    <row r="187" spans="10:10" x14ac:dyDescent="0.25">
      <c r="J187" s="4"/>
    </row>
    <row r="188" spans="10:10" x14ac:dyDescent="0.25">
      <c r="J188" s="4"/>
    </row>
    <row r="189" spans="10:10" x14ac:dyDescent="0.25">
      <c r="J189" s="4"/>
    </row>
    <row r="190" spans="10:10" x14ac:dyDescent="0.25">
      <c r="J190" s="4"/>
    </row>
    <row r="191" spans="10:10" x14ac:dyDescent="0.25">
      <c r="J191" s="4"/>
    </row>
    <row r="192" spans="10:10" x14ac:dyDescent="0.25">
      <c r="J192" s="4"/>
    </row>
    <row r="193" spans="10:10" x14ac:dyDescent="0.25">
      <c r="J193" s="4"/>
    </row>
    <row r="194" spans="10:10" x14ac:dyDescent="0.25">
      <c r="J194" s="4"/>
    </row>
    <row r="195" spans="10:10" x14ac:dyDescent="0.25">
      <c r="J195" s="4"/>
    </row>
    <row r="196" spans="10:10" x14ac:dyDescent="0.25">
      <c r="J196" s="4"/>
    </row>
    <row r="197" spans="10:10" x14ac:dyDescent="0.25">
      <c r="J197" s="4"/>
    </row>
    <row r="198" spans="10:10" x14ac:dyDescent="0.25">
      <c r="J198" s="4"/>
    </row>
    <row r="199" spans="10:10" x14ac:dyDescent="0.25">
      <c r="J199" s="4"/>
    </row>
    <row r="200" spans="10:10" x14ac:dyDescent="0.25">
      <c r="J200" s="4"/>
    </row>
    <row r="201" spans="10:10" x14ac:dyDescent="0.25">
      <c r="J201" s="4"/>
    </row>
    <row r="202" spans="10:10" x14ac:dyDescent="0.25">
      <c r="J202" s="4"/>
    </row>
    <row r="203" spans="10:10" x14ac:dyDescent="0.25">
      <c r="J203" s="4"/>
    </row>
    <row r="204" spans="10:10" x14ac:dyDescent="0.25">
      <c r="J204" s="4"/>
    </row>
    <row r="205" spans="10:10" x14ac:dyDescent="0.25">
      <c r="J205" s="4"/>
    </row>
    <row r="206" spans="10:10" x14ac:dyDescent="0.25">
      <c r="J206" s="4"/>
    </row>
    <row r="207" spans="10:10" x14ac:dyDescent="0.25">
      <c r="J207" s="4"/>
    </row>
    <row r="208" spans="10:10" x14ac:dyDescent="0.25">
      <c r="J208" s="4"/>
    </row>
    <row r="209" spans="10:10" x14ac:dyDescent="0.25">
      <c r="J209" s="4"/>
    </row>
    <row r="210" spans="10:10" x14ac:dyDescent="0.25">
      <c r="J210" s="4"/>
    </row>
    <row r="211" spans="10:10" x14ac:dyDescent="0.25">
      <c r="J211" s="4"/>
    </row>
    <row r="212" spans="10:10" x14ac:dyDescent="0.25">
      <c r="J212" s="4"/>
    </row>
    <row r="213" spans="10:10" x14ac:dyDescent="0.25">
      <c r="J213" s="4"/>
    </row>
    <row r="214" spans="10:10" x14ac:dyDescent="0.25">
      <c r="J214" s="4"/>
    </row>
    <row r="215" spans="10:10" x14ac:dyDescent="0.25">
      <c r="J215" s="4"/>
    </row>
    <row r="216" spans="10:10" x14ac:dyDescent="0.25">
      <c r="J216" s="4"/>
    </row>
    <row r="217" spans="10:10" x14ac:dyDescent="0.25">
      <c r="J217" s="4"/>
    </row>
    <row r="218" spans="10:10" x14ac:dyDescent="0.25">
      <c r="J218" s="4"/>
    </row>
    <row r="219" spans="10:10" x14ac:dyDescent="0.25">
      <c r="J219" s="4"/>
    </row>
    <row r="220" spans="10:10" x14ac:dyDescent="0.25">
      <c r="J220" s="4"/>
    </row>
    <row r="221" spans="10:10" x14ac:dyDescent="0.25">
      <c r="J221" s="4"/>
    </row>
    <row r="222" spans="10:10" x14ac:dyDescent="0.25">
      <c r="J222" s="4"/>
    </row>
    <row r="223" spans="10:10" x14ac:dyDescent="0.25">
      <c r="J223" s="4"/>
    </row>
    <row r="224" spans="10:10" x14ac:dyDescent="0.25">
      <c r="J224" s="4"/>
    </row>
    <row r="225" spans="10:10" x14ac:dyDescent="0.25">
      <c r="J225" s="4"/>
    </row>
    <row r="226" spans="10:10" x14ac:dyDescent="0.25">
      <c r="J226" s="4"/>
    </row>
    <row r="227" spans="10:10" x14ac:dyDescent="0.25">
      <c r="J227" s="4"/>
    </row>
    <row r="228" spans="10:10" x14ac:dyDescent="0.25">
      <c r="J228" s="4"/>
    </row>
    <row r="229" spans="10:10" x14ac:dyDescent="0.25">
      <c r="J229" s="4"/>
    </row>
    <row r="230" spans="10:10" x14ac:dyDescent="0.25">
      <c r="J230" s="4"/>
    </row>
    <row r="231" spans="10:10" x14ac:dyDescent="0.25">
      <c r="J231" s="4"/>
    </row>
    <row r="232" spans="10:10" x14ac:dyDescent="0.25">
      <c r="J232" s="4"/>
    </row>
    <row r="233" spans="10:10" x14ac:dyDescent="0.25">
      <c r="J233" s="4"/>
    </row>
    <row r="234" spans="10:10" x14ac:dyDescent="0.25">
      <c r="J234" s="4"/>
    </row>
    <row r="235" spans="10:10" x14ac:dyDescent="0.25">
      <c r="J235" s="4"/>
    </row>
    <row r="236" spans="10:10" x14ac:dyDescent="0.25">
      <c r="J236" s="4"/>
    </row>
    <row r="237" spans="10:10" x14ac:dyDescent="0.25">
      <c r="J237" s="4"/>
    </row>
    <row r="238" spans="10:10" x14ac:dyDescent="0.25">
      <c r="J238" s="4"/>
    </row>
    <row r="239" spans="10:10" x14ac:dyDescent="0.25">
      <c r="J239" s="4"/>
    </row>
    <row r="240" spans="10:10" x14ac:dyDescent="0.25">
      <c r="J240" s="4"/>
    </row>
    <row r="241" spans="10:10" x14ac:dyDescent="0.25">
      <c r="J241" s="4"/>
    </row>
    <row r="242" spans="10:10" x14ac:dyDescent="0.25">
      <c r="J242" s="4"/>
    </row>
    <row r="243" spans="10:10" x14ac:dyDescent="0.25">
      <c r="J243" s="4"/>
    </row>
    <row r="244" spans="10:10" x14ac:dyDescent="0.25">
      <c r="J244" s="4"/>
    </row>
    <row r="245" spans="10:10" x14ac:dyDescent="0.25">
      <c r="J245" s="4"/>
    </row>
    <row r="246" spans="10:10" x14ac:dyDescent="0.25">
      <c r="J246" s="4"/>
    </row>
    <row r="247" spans="10:10" x14ac:dyDescent="0.25">
      <c r="J247" s="4"/>
    </row>
    <row r="248" spans="10:10" x14ac:dyDescent="0.25">
      <c r="J248" s="4"/>
    </row>
    <row r="249" spans="10:10" x14ac:dyDescent="0.25">
      <c r="J249" s="4"/>
    </row>
    <row r="250" spans="10:10" x14ac:dyDescent="0.25">
      <c r="J250" s="4"/>
    </row>
    <row r="251" spans="10:10" x14ac:dyDescent="0.25">
      <c r="J251" s="4"/>
    </row>
    <row r="252" spans="10:10" x14ac:dyDescent="0.25">
      <c r="J252" s="4"/>
    </row>
    <row r="253" spans="10:10" x14ac:dyDescent="0.25">
      <c r="J253" s="4"/>
    </row>
    <row r="254" spans="10:10" x14ac:dyDescent="0.25">
      <c r="J254" s="4"/>
    </row>
    <row r="255" spans="10:10" x14ac:dyDescent="0.25">
      <c r="J255" s="4"/>
    </row>
    <row r="256" spans="10:10" x14ac:dyDescent="0.25">
      <c r="J256" s="4"/>
    </row>
    <row r="257" spans="10:10" x14ac:dyDescent="0.25">
      <c r="J257" s="4"/>
    </row>
    <row r="258" spans="10:10" x14ac:dyDescent="0.25">
      <c r="J258" s="4"/>
    </row>
    <row r="259" spans="10:10" x14ac:dyDescent="0.25">
      <c r="J259" s="4"/>
    </row>
    <row r="260" spans="10:10" x14ac:dyDescent="0.25">
      <c r="J260" s="4"/>
    </row>
    <row r="261" spans="10:10" x14ac:dyDescent="0.25">
      <c r="J261" s="4"/>
    </row>
    <row r="262" spans="10:10" x14ac:dyDescent="0.25">
      <c r="J262" s="4"/>
    </row>
    <row r="263" spans="10:10" x14ac:dyDescent="0.25">
      <c r="J263" s="4"/>
    </row>
    <row r="264" spans="10:10" x14ac:dyDescent="0.25">
      <c r="J264" s="4"/>
    </row>
    <row r="265" spans="10:10" x14ac:dyDescent="0.25">
      <c r="J265" s="4"/>
    </row>
    <row r="266" spans="10:10" x14ac:dyDescent="0.25">
      <c r="J266" s="4"/>
    </row>
    <row r="267" spans="10:10" x14ac:dyDescent="0.25">
      <c r="J267" s="4"/>
    </row>
    <row r="268" spans="10:10" x14ac:dyDescent="0.25">
      <c r="J268" s="4"/>
    </row>
    <row r="269" spans="10:10" x14ac:dyDescent="0.25">
      <c r="J269" s="4"/>
    </row>
    <row r="270" spans="10:10" x14ac:dyDescent="0.25">
      <c r="J270" s="4"/>
    </row>
    <row r="271" spans="10:10" x14ac:dyDescent="0.25">
      <c r="J271" s="4"/>
    </row>
    <row r="272" spans="10:10" x14ac:dyDescent="0.25">
      <c r="J272" s="4"/>
    </row>
    <row r="273" spans="10:10" x14ac:dyDescent="0.25">
      <c r="J273" s="4"/>
    </row>
    <row r="274" spans="10:10" x14ac:dyDescent="0.25">
      <c r="J274" s="4"/>
    </row>
    <row r="275" spans="10:10" x14ac:dyDescent="0.25">
      <c r="J275" s="4"/>
    </row>
    <row r="276" spans="10:10" x14ac:dyDescent="0.25">
      <c r="J276" s="4"/>
    </row>
    <row r="277" spans="10:10" x14ac:dyDescent="0.25">
      <c r="J277" s="4"/>
    </row>
    <row r="278" spans="10:10" x14ac:dyDescent="0.25">
      <c r="J278" s="4"/>
    </row>
    <row r="279" spans="10:10" x14ac:dyDescent="0.25">
      <c r="J279" s="4"/>
    </row>
    <row r="280" spans="10:10" x14ac:dyDescent="0.25">
      <c r="J280" s="4"/>
    </row>
    <row r="281" spans="10:10" x14ac:dyDescent="0.25">
      <c r="J281" s="4"/>
    </row>
    <row r="282" spans="10:10" x14ac:dyDescent="0.25">
      <c r="J282" s="4"/>
    </row>
    <row r="283" spans="10:10" x14ac:dyDescent="0.25">
      <c r="J283" s="4"/>
    </row>
    <row r="284" spans="10:10" x14ac:dyDescent="0.25">
      <c r="J284" s="4"/>
    </row>
    <row r="285" spans="10:10" x14ac:dyDescent="0.25">
      <c r="J285" s="4"/>
    </row>
    <row r="286" spans="10:10" x14ac:dyDescent="0.25">
      <c r="J286" s="4"/>
    </row>
    <row r="287" spans="10:10" x14ac:dyDescent="0.25">
      <c r="J287" s="4"/>
    </row>
    <row r="288" spans="10:10" x14ac:dyDescent="0.25">
      <c r="J288" s="4"/>
    </row>
    <row r="289" spans="10:10" x14ac:dyDescent="0.25">
      <c r="J289" s="4"/>
    </row>
    <row r="290" spans="10:10" x14ac:dyDescent="0.25">
      <c r="J290" s="4"/>
    </row>
    <row r="291" spans="10:10" x14ac:dyDescent="0.25">
      <c r="J291" s="4"/>
    </row>
    <row r="292" spans="10:10" x14ac:dyDescent="0.25">
      <c r="J292" s="4"/>
    </row>
    <row r="293" spans="10:10" x14ac:dyDescent="0.25">
      <c r="J293" s="4"/>
    </row>
    <row r="294" spans="10:10" x14ac:dyDescent="0.25">
      <c r="J294" s="4"/>
    </row>
    <row r="295" spans="10:10" x14ac:dyDescent="0.25">
      <c r="J295" s="4"/>
    </row>
    <row r="296" spans="10:10" x14ac:dyDescent="0.25">
      <c r="J296" s="4"/>
    </row>
    <row r="297" spans="10:10" x14ac:dyDescent="0.25">
      <c r="J297" s="4"/>
    </row>
    <row r="298" spans="10:10" x14ac:dyDescent="0.25">
      <c r="J298" s="4"/>
    </row>
    <row r="299" spans="10:10" x14ac:dyDescent="0.25">
      <c r="J299" s="4"/>
    </row>
    <row r="300" spans="10:10" x14ac:dyDescent="0.25">
      <c r="J300" s="4"/>
    </row>
    <row r="301" spans="10:10" x14ac:dyDescent="0.25">
      <c r="J301" s="4"/>
    </row>
    <row r="302" spans="10:10" x14ac:dyDescent="0.25">
      <c r="J302" s="4"/>
    </row>
    <row r="303" spans="10:10" x14ac:dyDescent="0.25">
      <c r="J303" s="4"/>
    </row>
    <row r="304" spans="10:10" x14ac:dyDescent="0.25">
      <c r="J304" s="4"/>
    </row>
    <row r="305" spans="10:10" x14ac:dyDescent="0.25">
      <c r="J305" s="4"/>
    </row>
    <row r="306" spans="10:10" x14ac:dyDescent="0.25">
      <c r="J306" s="4"/>
    </row>
    <row r="307" spans="10:10" x14ac:dyDescent="0.25">
      <c r="J307" s="4"/>
    </row>
    <row r="308" spans="10:10" x14ac:dyDescent="0.25">
      <c r="J308" s="4"/>
    </row>
    <row r="309" spans="10:10" x14ac:dyDescent="0.25">
      <c r="J309" s="4"/>
    </row>
    <row r="310" spans="10:10" x14ac:dyDescent="0.25">
      <c r="J310" s="4"/>
    </row>
    <row r="311" spans="10:10" x14ac:dyDescent="0.25">
      <c r="J311" s="4"/>
    </row>
    <row r="312" spans="10:10" x14ac:dyDescent="0.25">
      <c r="J312" s="4"/>
    </row>
    <row r="313" spans="10:10" x14ac:dyDescent="0.25">
      <c r="J313" s="4"/>
    </row>
    <row r="314" spans="10:10" x14ac:dyDescent="0.25">
      <c r="J314" s="4"/>
    </row>
    <row r="315" spans="10:10" x14ac:dyDescent="0.25">
      <c r="J315" s="4"/>
    </row>
    <row r="316" spans="10:10" x14ac:dyDescent="0.25">
      <c r="J316" s="4"/>
    </row>
    <row r="317" spans="10:10" x14ac:dyDescent="0.25">
      <c r="J317" s="4"/>
    </row>
    <row r="318" spans="10:10" x14ac:dyDescent="0.25">
      <c r="J318" s="4"/>
    </row>
    <row r="319" spans="10:10" x14ac:dyDescent="0.25">
      <c r="J319" s="4"/>
    </row>
    <row r="320" spans="10:10" x14ac:dyDescent="0.25">
      <c r="J320" s="4"/>
    </row>
    <row r="321" spans="10:10" x14ac:dyDescent="0.25">
      <c r="J321" s="4"/>
    </row>
    <row r="322" spans="10:10" x14ac:dyDescent="0.25">
      <c r="J322" s="4"/>
    </row>
    <row r="323" spans="10:10" x14ac:dyDescent="0.25">
      <c r="J323" s="4"/>
    </row>
    <row r="324" spans="10:10" x14ac:dyDescent="0.25">
      <c r="J324" s="4"/>
    </row>
    <row r="325" spans="10:10" x14ac:dyDescent="0.25">
      <c r="J325" s="4"/>
    </row>
    <row r="326" spans="10:10" x14ac:dyDescent="0.25">
      <c r="J326" s="4"/>
    </row>
    <row r="327" spans="10:10" x14ac:dyDescent="0.25">
      <c r="J327" s="4"/>
    </row>
    <row r="328" spans="10:10" x14ac:dyDescent="0.25">
      <c r="J328" s="4"/>
    </row>
    <row r="329" spans="10:10" x14ac:dyDescent="0.25">
      <c r="J329" s="4"/>
    </row>
    <row r="330" spans="10:10" x14ac:dyDescent="0.25">
      <c r="J330" s="4"/>
    </row>
    <row r="331" spans="10:10" x14ac:dyDescent="0.25">
      <c r="J331" s="4"/>
    </row>
    <row r="332" spans="10:10" x14ac:dyDescent="0.25">
      <c r="J332" s="4"/>
    </row>
    <row r="333" spans="10:10" x14ac:dyDescent="0.25">
      <c r="J333" s="4"/>
    </row>
    <row r="334" spans="10:10" x14ac:dyDescent="0.25">
      <c r="J334" s="4"/>
    </row>
    <row r="335" spans="10:10" x14ac:dyDescent="0.25">
      <c r="J335" s="4"/>
    </row>
    <row r="336" spans="10:10" x14ac:dyDescent="0.25">
      <c r="J336" s="4"/>
    </row>
    <row r="337" spans="10:10" x14ac:dyDescent="0.25">
      <c r="J337" s="4"/>
    </row>
    <row r="338" spans="10:10" x14ac:dyDescent="0.25">
      <c r="J338" s="4"/>
    </row>
    <row r="339" spans="10:10" x14ac:dyDescent="0.25">
      <c r="J339" s="4"/>
    </row>
    <row r="340" spans="10:10" x14ac:dyDescent="0.25">
      <c r="J340" s="4"/>
    </row>
    <row r="341" spans="10:10" x14ac:dyDescent="0.25">
      <c r="J341" s="4"/>
    </row>
    <row r="342" spans="10:10" x14ac:dyDescent="0.25">
      <c r="J342" s="4"/>
    </row>
    <row r="343" spans="10:10" x14ac:dyDescent="0.25">
      <c r="J343" s="4"/>
    </row>
    <row r="344" spans="10:10" x14ac:dyDescent="0.25">
      <c r="J344" s="4"/>
    </row>
    <row r="345" spans="10:10" x14ac:dyDescent="0.25">
      <c r="J345" s="4"/>
    </row>
    <row r="346" spans="10:10" x14ac:dyDescent="0.25">
      <c r="J346" s="4"/>
    </row>
    <row r="347" spans="10:10" x14ac:dyDescent="0.25">
      <c r="J347" s="4"/>
    </row>
    <row r="348" spans="10:10" x14ac:dyDescent="0.25">
      <c r="J348" s="4"/>
    </row>
    <row r="349" spans="10:10" x14ac:dyDescent="0.25">
      <c r="J349" s="4"/>
    </row>
    <row r="350" spans="10:10" x14ac:dyDescent="0.25">
      <c r="J350" s="4"/>
    </row>
    <row r="351" spans="10:10" x14ac:dyDescent="0.25">
      <c r="J351" s="4"/>
    </row>
    <row r="352" spans="10:10" x14ac:dyDescent="0.25">
      <c r="J352" s="4"/>
    </row>
    <row r="353" spans="10:10" x14ac:dyDescent="0.25">
      <c r="J353" s="4"/>
    </row>
    <row r="354" spans="10:10" x14ac:dyDescent="0.25">
      <c r="J354" s="4"/>
    </row>
    <row r="355" spans="10:10" x14ac:dyDescent="0.25">
      <c r="J355" s="4"/>
    </row>
    <row r="356" spans="10:10" x14ac:dyDescent="0.25">
      <c r="J356" s="4"/>
    </row>
    <row r="357" spans="10:10" x14ac:dyDescent="0.25">
      <c r="J357" s="4"/>
    </row>
    <row r="358" spans="10:10" x14ac:dyDescent="0.25">
      <c r="J358" s="4"/>
    </row>
    <row r="359" spans="10:10" x14ac:dyDescent="0.25">
      <c r="J359" s="4"/>
    </row>
    <row r="360" spans="10:10" x14ac:dyDescent="0.25">
      <c r="J360" s="4"/>
    </row>
    <row r="361" spans="10:10" x14ac:dyDescent="0.25">
      <c r="J361" s="4"/>
    </row>
    <row r="362" spans="10:10" x14ac:dyDescent="0.25">
      <c r="J362" s="4"/>
    </row>
    <row r="363" spans="10:10" x14ac:dyDescent="0.25">
      <c r="J363" s="4"/>
    </row>
    <row r="364" spans="10:10" x14ac:dyDescent="0.25">
      <c r="J364" s="4"/>
    </row>
    <row r="365" spans="10:10" x14ac:dyDescent="0.25">
      <c r="J365" s="4"/>
    </row>
    <row r="366" spans="10:10" x14ac:dyDescent="0.25">
      <c r="J366" s="4"/>
    </row>
    <row r="367" spans="10:10" x14ac:dyDescent="0.25">
      <c r="J367" s="4"/>
    </row>
    <row r="368" spans="10:10" x14ac:dyDescent="0.25">
      <c r="J368" s="4"/>
    </row>
    <row r="369" spans="10:10" x14ac:dyDescent="0.25">
      <c r="J369" s="4"/>
    </row>
    <row r="370" spans="10:10" x14ac:dyDescent="0.25">
      <c r="J370" s="4"/>
    </row>
    <row r="371" spans="10:10" x14ac:dyDescent="0.25">
      <c r="J371" s="4"/>
    </row>
    <row r="372" spans="10:10" x14ac:dyDescent="0.25">
      <c r="J372" s="4"/>
    </row>
    <row r="373" spans="10:10" x14ac:dyDescent="0.25">
      <c r="J373" s="4"/>
    </row>
    <row r="374" spans="10:10" x14ac:dyDescent="0.25">
      <c r="J374" s="4"/>
    </row>
    <row r="375" spans="10:10" x14ac:dyDescent="0.25">
      <c r="J375" s="4"/>
    </row>
    <row r="376" spans="10:10" x14ac:dyDescent="0.25">
      <c r="J376" s="4"/>
    </row>
    <row r="377" spans="10:10" x14ac:dyDescent="0.25">
      <c r="J377" s="4"/>
    </row>
    <row r="378" spans="10:10" x14ac:dyDescent="0.25">
      <c r="J378" s="4"/>
    </row>
    <row r="379" spans="10:10" x14ac:dyDescent="0.25">
      <c r="J379" s="4"/>
    </row>
    <row r="380" spans="10:10" x14ac:dyDescent="0.25">
      <c r="J380" s="4"/>
    </row>
    <row r="381" spans="10:10" x14ac:dyDescent="0.25">
      <c r="J381" s="4"/>
    </row>
    <row r="382" spans="10:10" x14ac:dyDescent="0.25">
      <c r="J382" s="4"/>
    </row>
    <row r="383" spans="10:10" x14ac:dyDescent="0.25">
      <c r="J383" s="4"/>
    </row>
    <row r="384" spans="10:10" x14ac:dyDescent="0.25">
      <c r="J384" s="4"/>
    </row>
    <row r="385" spans="10:10" x14ac:dyDescent="0.25">
      <c r="J385" s="4"/>
    </row>
    <row r="386" spans="10:10" x14ac:dyDescent="0.25">
      <c r="J386" s="4"/>
    </row>
    <row r="387" spans="10:10" x14ac:dyDescent="0.25">
      <c r="J387" s="4"/>
    </row>
    <row r="388" spans="10:10" x14ac:dyDescent="0.25">
      <c r="J388" s="4"/>
    </row>
    <row r="389" spans="10:10" x14ac:dyDescent="0.25">
      <c r="J389" s="4"/>
    </row>
    <row r="390" spans="10:10" x14ac:dyDescent="0.25">
      <c r="J390" s="4"/>
    </row>
    <row r="391" spans="10:10" x14ac:dyDescent="0.25">
      <c r="J391" s="4"/>
    </row>
    <row r="392" spans="10:10" x14ac:dyDescent="0.25">
      <c r="J392" s="4"/>
    </row>
    <row r="393" spans="10:10" x14ac:dyDescent="0.25">
      <c r="J393" s="4"/>
    </row>
    <row r="394" spans="10:10" x14ac:dyDescent="0.25">
      <c r="J394" s="4"/>
    </row>
    <row r="395" spans="10:10" x14ac:dyDescent="0.25">
      <c r="J395" s="4"/>
    </row>
    <row r="396" spans="10:10" x14ac:dyDescent="0.25">
      <c r="J396" s="4"/>
    </row>
    <row r="397" spans="10:10" x14ac:dyDescent="0.25">
      <c r="J397" s="4"/>
    </row>
    <row r="398" spans="10:10" x14ac:dyDescent="0.25">
      <c r="J398" s="4"/>
    </row>
    <row r="399" spans="10:10" x14ac:dyDescent="0.25">
      <c r="J399" s="4"/>
    </row>
    <row r="400" spans="10:10" x14ac:dyDescent="0.25">
      <c r="J400" s="4"/>
    </row>
    <row r="401" spans="10:10" x14ac:dyDescent="0.25">
      <c r="J401" s="4"/>
    </row>
    <row r="402" spans="10:10" x14ac:dyDescent="0.25">
      <c r="J402" s="4"/>
    </row>
    <row r="403" spans="10:10" x14ac:dyDescent="0.25">
      <c r="J403" s="4"/>
    </row>
    <row r="404" spans="10:10" x14ac:dyDescent="0.25">
      <c r="J404" s="4"/>
    </row>
    <row r="405" spans="10:10" x14ac:dyDescent="0.25">
      <c r="J405" s="4"/>
    </row>
    <row r="406" spans="10:10" x14ac:dyDescent="0.25">
      <c r="J406" s="4"/>
    </row>
    <row r="407" spans="10:10" x14ac:dyDescent="0.25">
      <c r="J407" s="4"/>
    </row>
    <row r="408" spans="10:10" x14ac:dyDescent="0.25">
      <c r="J408" s="4"/>
    </row>
    <row r="409" spans="10:10" x14ac:dyDescent="0.25">
      <c r="J409" s="4"/>
    </row>
    <row r="410" spans="10:10" x14ac:dyDescent="0.25">
      <c r="J410" s="4"/>
    </row>
    <row r="411" spans="10:10" x14ac:dyDescent="0.25">
      <c r="J411" s="4"/>
    </row>
    <row r="412" spans="10:10" x14ac:dyDescent="0.25">
      <c r="J412" s="4"/>
    </row>
    <row r="413" spans="10:10" x14ac:dyDescent="0.25">
      <c r="J413" s="4"/>
    </row>
    <row r="414" spans="10:10" x14ac:dyDescent="0.25">
      <c r="J414" s="4"/>
    </row>
    <row r="415" spans="10:10" x14ac:dyDescent="0.25">
      <c r="J415" s="4"/>
    </row>
    <row r="416" spans="10:10" x14ac:dyDescent="0.25">
      <c r="J416" s="4"/>
    </row>
    <row r="417" spans="10:10" x14ac:dyDescent="0.25">
      <c r="J417" s="4"/>
    </row>
    <row r="418" spans="10:10" x14ac:dyDescent="0.25">
      <c r="J418" s="4"/>
    </row>
    <row r="419" spans="10:10" x14ac:dyDescent="0.25">
      <c r="J419" s="4"/>
    </row>
    <row r="420" spans="10:10" x14ac:dyDescent="0.25">
      <c r="J420" s="4"/>
    </row>
    <row r="421" spans="10:10" x14ac:dyDescent="0.25">
      <c r="J421" s="4"/>
    </row>
    <row r="422" spans="10:10" x14ac:dyDescent="0.25">
      <c r="J422" s="4"/>
    </row>
    <row r="423" spans="10:10" x14ac:dyDescent="0.25">
      <c r="J423" s="4"/>
    </row>
    <row r="424" spans="10:10" x14ac:dyDescent="0.25">
      <c r="J424" s="4"/>
    </row>
    <row r="425" spans="10:10" x14ac:dyDescent="0.25">
      <c r="J425" s="4"/>
    </row>
    <row r="426" spans="10:10" x14ac:dyDescent="0.25">
      <c r="J426" s="4"/>
    </row>
    <row r="427" spans="10:10" x14ac:dyDescent="0.25">
      <c r="J427" s="4"/>
    </row>
    <row r="428" spans="10:10" x14ac:dyDescent="0.25">
      <c r="J428" s="4"/>
    </row>
    <row r="429" spans="10:10" x14ac:dyDescent="0.25">
      <c r="J429" s="4"/>
    </row>
    <row r="430" spans="10:10" x14ac:dyDescent="0.25">
      <c r="J430" s="4"/>
    </row>
    <row r="431" spans="10:10" x14ac:dyDescent="0.25">
      <c r="J431" s="4"/>
    </row>
    <row r="432" spans="10:10" x14ac:dyDescent="0.25">
      <c r="J432" s="4"/>
    </row>
    <row r="433" spans="10:10" x14ac:dyDescent="0.25">
      <c r="J433" s="4"/>
    </row>
    <row r="434" spans="10:10" x14ac:dyDescent="0.25">
      <c r="J434" s="4"/>
    </row>
    <row r="435" spans="10:10" x14ac:dyDescent="0.25">
      <c r="J435" s="4"/>
    </row>
    <row r="436" spans="10:10" x14ac:dyDescent="0.25">
      <c r="J436" s="4"/>
    </row>
    <row r="437" spans="10:10" x14ac:dyDescent="0.25">
      <c r="J437" s="4"/>
    </row>
    <row r="438" spans="10:10" x14ac:dyDescent="0.25">
      <c r="J438" s="4"/>
    </row>
    <row r="439" spans="10:10" x14ac:dyDescent="0.25">
      <c r="J439" s="4"/>
    </row>
    <row r="440" spans="10:10" x14ac:dyDescent="0.25">
      <c r="J440" s="4"/>
    </row>
    <row r="441" spans="10:10" x14ac:dyDescent="0.25">
      <c r="J441" s="4"/>
    </row>
    <row r="442" spans="10:10" x14ac:dyDescent="0.25">
      <c r="J442" s="4"/>
    </row>
    <row r="443" spans="10:10" x14ac:dyDescent="0.25">
      <c r="J443" s="4"/>
    </row>
    <row r="444" spans="10:10" x14ac:dyDescent="0.25">
      <c r="J444" s="4"/>
    </row>
    <row r="445" spans="10:10" x14ac:dyDescent="0.25">
      <c r="J445" s="4"/>
    </row>
    <row r="446" spans="10:10" x14ac:dyDescent="0.25">
      <c r="J446" s="4"/>
    </row>
    <row r="447" spans="10:10" x14ac:dyDescent="0.25">
      <c r="J447" s="4"/>
    </row>
    <row r="448" spans="10:10" x14ac:dyDescent="0.25">
      <c r="J448" s="4"/>
    </row>
    <row r="449" spans="10:10" x14ac:dyDescent="0.25">
      <c r="J449" s="4"/>
    </row>
    <row r="450" spans="10:10" x14ac:dyDescent="0.25">
      <c r="J450" s="4"/>
    </row>
    <row r="451" spans="10:10" x14ac:dyDescent="0.25">
      <c r="J451" s="4"/>
    </row>
    <row r="452" spans="10:10" x14ac:dyDescent="0.25">
      <c r="J452" s="4"/>
    </row>
    <row r="453" spans="10:10" x14ac:dyDescent="0.25">
      <c r="J453" s="4"/>
    </row>
    <row r="454" spans="10:10" x14ac:dyDescent="0.25">
      <c r="J454" s="4"/>
    </row>
    <row r="455" spans="10:10" x14ac:dyDescent="0.25">
      <c r="J455" s="4"/>
    </row>
    <row r="456" spans="10:10" x14ac:dyDescent="0.25">
      <c r="J456" s="4"/>
    </row>
    <row r="457" spans="10:10" x14ac:dyDescent="0.25">
      <c r="J457" s="4"/>
    </row>
    <row r="458" spans="10:10" x14ac:dyDescent="0.25">
      <c r="J458" s="4"/>
    </row>
    <row r="459" spans="10:10" x14ac:dyDescent="0.25">
      <c r="J459" s="4"/>
    </row>
    <row r="460" spans="10:10" x14ac:dyDescent="0.25">
      <c r="J460" s="4"/>
    </row>
    <row r="461" spans="10:10" x14ac:dyDescent="0.25">
      <c r="J461" s="4"/>
    </row>
    <row r="462" spans="10:10" x14ac:dyDescent="0.25">
      <c r="J462" s="4"/>
    </row>
    <row r="463" spans="10:10" x14ac:dyDescent="0.25">
      <c r="J463" s="4"/>
    </row>
    <row r="464" spans="10:10" x14ac:dyDescent="0.25">
      <c r="J464" s="4"/>
    </row>
    <row r="465" spans="10:10" x14ac:dyDescent="0.25">
      <c r="J465" s="4"/>
    </row>
    <row r="466" spans="10:10" x14ac:dyDescent="0.25">
      <c r="J466" s="4"/>
    </row>
    <row r="467" spans="10:10" x14ac:dyDescent="0.25">
      <c r="J467" s="4"/>
    </row>
    <row r="468" spans="10:10" x14ac:dyDescent="0.25">
      <c r="J468" s="4"/>
    </row>
    <row r="469" spans="10:10" x14ac:dyDescent="0.25">
      <c r="J469" s="4"/>
    </row>
    <row r="470" spans="10:10" x14ac:dyDescent="0.25">
      <c r="J470" s="4"/>
    </row>
    <row r="471" spans="10:10" x14ac:dyDescent="0.25">
      <c r="J471" s="4"/>
    </row>
    <row r="472" spans="10:10" x14ac:dyDescent="0.25">
      <c r="J472" s="4"/>
    </row>
    <row r="473" spans="10:10" x14ac:dyDescent="0.25">
      <c r="J473" s="4"/>
    </row>
    <row r="474" spans="10:10" x14ac:dyDescent="0.25">
      <c r="J474" s="4"/>
    </row>
    <row r="475" spans="10:10" x14ac:dyDescent="0.25">
      <c r="J475" s="4"/>
    </row>
    <row r="476" spans="10:10" x14ac:dyDescent="0.25">
      <c r="J476" s="4"/>
    </row>
    <row r="477" spans="10:10" x14ac:dyDescent="0.25">
      <c r="J477" s="4"/>
    </row>
    <row r="478" spans="10:10" x14ac:dyDescent="0.25">
      <c r="J478" s="4"/>
    </row>
    <row r="479" spans="10:10" x14ac:dyDescent="0.25">
      <c r="J479" s="4"/>
    </row>
    <row r="480" spans="10:10" x14ac:dyDescent="0.25">
      <c r="J480" s="4"/>
    </row>
    <row r="481" spans="10:10" x14ac:dyDescent="0.25">
      <c r="J481" s="4"/>
    </row>
    <row r="482" spans="10:10" x14ac:dyDescent="0.25">
      <c r="J482" s="4"/>
    </row>
    <row r="483" spans="10:10" x14ac:dyDescent="0.25">
      <c r="J483" s="4"/>
    </row>
    <row r="484" spans="10:10" x14ac:dyDescent="0.25">
      <c r="J484" s="4"/>
    </row>
    <row r="485" spans="10:10" x14ac:dyDescent="0.25">
      <c r="J485" s="4"/>
    </row>
    <row r="486" spans="10:10" x14ac:dyDescent="0.25">
      <c r="J486" s="4"/>
    </row>
    <row r="487" spans="10:10" x14ac:dyDescent="0.25">
      <c r="J487" s="4"/>
    </row>
    <row r="488" spans="10:10" x14ac:dyDescent="0.25">
      <c r="J488" s="4"/>
    </row>
    <row r="489" spans="10:10" x14ac:dyDescent="0.25">
      <c r="J489" s="4"/>
    </row>
    <row r="490" spans="10:10" x14ac:dyDescent="0.25">
      <c r="J490" s="4"/>
    </row>
    <row r="491" spans="10:10" x14ac:dyDescent="0.25">
      <c r="J491" s="4"/>
    </row>
    <row r="492" spans="10:10" x14ac:dyDescent="0.25">
      <c r="J492" s="4"/>
    </row>
    <row r="493" spans="10:10" x14ac:dyDescent="0.25">
      <c r="J493" s="4"/>
    </row>
    <row r="494" spans="10:10" x14ac:dyDescent="0.25">
      <c r="J494" s="4"/>
    </row>
    <row r="495" spans="10:10" x14ac:dyDescent="0.25">
      <c r="J495" s="4"/>
    </row>
    <row r="496" spans="10:10" x14ac:dyDescent="0.25">
      <c r="J496" s="4"/>
    </row>
    <row r="497" spans="10:10" x14ac:dyDescent="0.25">
      <c r="J497" s="4"/>
    </row>
    <row r="498" spans="10:10" x14ac:dyDescent="0.25">
      <c r="J498" s="4"/>
    </row>
    <row r="499" spans="10:10" x14ac:dyDescent="0.25">
      <c r="J499" s="4"/>
    </row>
    <row r="500" spans="10:10" x14ac:dyDescent="0.25">
      <c r="J500" s="4"/>
    </row>
    <row r="501" spans="10:10" x14ac:dyDescent="0.25">
      <c r="J501" s="4"/>
    </row>
    <row r="502" spans="10:10" x14ac:dyDescent="0.25">
      <c r="J502" s="4"/>
    </row>
    <row r="503" spans="10:10" x14ac:dyDescent="0.25">
      <c r="J503" s="4"/>
    </row>
    <row r="504" spans="10:10" x14ac:dyDescent="0.25">
      <c r="J504" s="4"/>
    </row>
    <row r="505" spans="10:10" x14ac:dyDescent="0.25">
      <c r="J505" s="4"/>
    </row>
    <row r="506" spans="10:10" x14ac:dyDescent="0.25">
      <c r="J506" s="4"/>
    </row>
    <row r="507" spans="10:10" x14ac:dyDescent="0.25">
      <c r="J507" s="4"/>
    </row>
    <row r="508" spans="10:10" x14ac:dyDescent="0.25">
      <c r="J508" s="4"/>
    </row>
    <row r="509" spans="10:10" x14ac:dyDescent="0.25">
      <c r="J509" s="4"/>
    </row>
    <row r="510" spans="10:10" x14ac:dyDescent="0.25">
      <c r="J510" s="4"/>
    </row>
    <row r="511" spans="10:10" x14ac:dyDescent="0.25">
      <c r="J511" s="4"/>
    </row>
    <row r="512" spans="10:10" x14ac:dyDescent="0.25">
      <c r="J512" s="4"/>
    </row>
    <row r="513" spans="10:10" x14ac:dyDescent="0.25">
      <c r="J513" s="4"/>
    </row>
    <row r="514" spans="10:10" x14ac:dyDescent="0.25">
      <c r="J514" s="4"/>
    </row>
    <row r="515" spans="10:10" x14ac:dyDescent="0.25">
      <c r="J515" s="4"/>
    </row>
    <row r="516" spans="10:10" x14ac:dyDescent="0.25">
      <c r="J516" s="4"/>
    </row>
    <row r="517" spans="10:10" x14ac:dyDescent="0.25">
      <c r="J517" s="4"/>
    </row>
    <row r="518" spans="10:10" x14ac:dyDescent="0.25">
      <c r="J518" s="4"/>
    </row>
    <row r="519" spans="10:10" x14ac:dyDescent="0.25">
      <c r="J519" s="4"/>
    </row>
    <row r="520" spans="10:10" x14ac:dyDescent="0.25">
      <c r="J520" s="4"/>
    </row>
    <row r="521" spans="10:10" x14ac:dyDescent="0.25">
      <c r="J521" s="4"/>
    </row>
    <row r="522" spans="10:10" x14ac:dyDescent="0.25">
      <c r="J522" s="4"/>
    </row>
    <row r="523" spans="10:10" x14ac:dyDescent="0.25">
      <c r="J523" s="4"/>
    </row>
    <row r="524" spans="10:10" x14ac:dyDescent="0.25">
      <c r="J524" s="4"/>
    </row>
    <row r="525" spans="10:10" x14ac:dyDescent="0.25">
      <c r="J525" s="4"/>
    </row>
    <row r="526" spans="10:10" x14ac:dyDescent="0.25">
      <c r="J526" s="4"/>
    </row>
    <row r="527" spans="10:10" x14ac:dyDescent="0.25">
      <c r="J527" s="4"/>
    </row>
    <row r="528" spans="10:10" x14ac:dyDescent="0.25">
      <c r="J528" s="4"/>
    </row>
    <row r="529" spans="10:10" x14ac:dyDescent="0.25">
      <c r="J529" s="4"/>
    </row>
    <row r="530" spans="10:10" x14ac:dyDescent="0.25">
      <c r="J530" s="4"/>
    </row>
    <row r="531" spans="10:10" x14ac:dyDescent="0.25">
      <c r="J531" s="4"/>
    </row>
    <row r="532" spans="10:10" x14ac:dyDescent="0.25">
      <c r="J532" s="4"/>
    </row>
    <row r="533" spans="10:10" x14ac:dyDescent="0.25">
      <c r="J533" s="4"/>
    </row>
    <row r="534" spans="10:10" x14ac:dyDescent="0.25">
      <c r="J534" s="4"/>
    </row>
    <row r="535" spans="10:10" x14ac:dyDescent="0.25">
      <c r="J535" s="4"/>
    </row>
    <row r="536" spans="10:10" x14ac:dyDescent="0.25">
      <c r="J536" s="4"/>
    </row>
    <row r="537" spans="10:10" x14ac:dyDescent="0.25">
      <c r="J537" s="4"/>
    </row>
    <row r="538" spans="10:10" x14ac:dyDescent="0.25">
      <c r="J538" s="4"/>
    </row>
    <row r="539" spans="10:10" x14ac:dyDescent="0.25">
      <c r="J539" s="4"/>
    </row>
    <row r="540" spans="10:10" x14ac:dyDescent="0.25">
      <c r="J540" s="4"/>
    </row>
    <row r="541" spans="10:10" x14ac:dyDescent="0.25">
      <c r="J541" s="4"/>
    </row>
    <row r="542" spans="10:10" x14ac:dyDescent="0.25">
      <c r="J542" s="4"/>
    </row>
    <row r="543" spans="10:10" x14ac:dyDescent="0.25">
      <c r="J543" s="4"/>
    </row>
    <row r="544" spans="10:10" x14ac:dyDescent="0.25">
      <c r="J544" s="4"/>
    </row>
    <row r="545" spans="10:10" x14ac:dyDescent="0.25">
      <c r="J545" s="4"/>
    </row>
    <row r="546" spans="10:10" x14ac:dyDescent="0.25">
      <c r="J546" s="4"/>
    </row>
    <row r="547" spans="10:10" x14ac:dyDescent="0.25">
      <c r="J547" s="4"/>
    </row>
    <row r="548" spans="10:10" x14ac:dyDescent="0.25">
      <c r="J548" s="4"/>
    </row>
    <row r="549" spans="10:10" x14ac:dyDescent="0.25">
      <c r="J549" s="4"/>
    </row>
    <row r="550" spans="10:10" x14ac:dyDescent="0.25">
      <c r="J550" s="4"/>
    </row>
    <row r="551" spans="10:10" x14ac:dyDescent="0.25">
      <c r="J551" s="4"/>
    </row>
    <row r="552" spans="10:10" x14ac:dyDescent="0.25">
      <c r="J552" s="4"/>
    </row>
    <row r="553" spans="10:10" x14ac:dyDescent="0.25">
      <c r="J553" s="4"/>
    </row>
    <row r="554" spans="10:10" x14ac:dyDescent="0.25">
      <c r="J554" s="4"/>
    </row>
    <row r="555" spans="10:10" x14ac:dyDescent="0.25">
      <c r="J555" s="4"/>
    </row>
    <row r="556" spans="10:10" x14ac:dyDescent="0.25">
      <c r="J556" s="4"/>
    </row>
    <row r="557" spans="10:10" x14ac:dyDescent="0.25">
      <c r="J557" s="4"/>
    </row>
    <row r="558" spans="10:10" x14ac:dyDescent="0.25">
      <c r="J558" s="4"/>
    </row>
    <row r="559" spans="10:10" x14ac:dyDescent="0.25">
      <c r="J559" s="4"/>
    </row>
    <row r="560" spans="10:10" x14ac:dyDescent="0.25">
      <c r="J560" s="4"/>
    </row>
    <row r="561" spans="10:10" x14ac:dyDescent="0.25">
      <c r="J561" s="4"/>
    </row>
    <row r="562" spans="10:10" x14ac:dyDescent="0.25">
      <c r="J562" s="4"/>
    </row>
    <row r="563" spans="10:10" x14ac:dyDescent="0.25">
      <c r="J563" s="4"/>
    </row>
    <row r="564" spans="10:10" x14ac:dyDescent="0.25">
      <c r="J564" s="4"/>
    </row>
    <row r="565" spans="10:10" x14ac:dyDescent="0.25">
      <c r="J565" s="4"/>
    </row>
    <row r="566" spans="10:10" x14ac:dyDescent="0.25">
      <c r="J566" s="4"/>
    </row>
    <row r="567" spans="10:10" x14ac:dyDescent="0.25">
      <c r="J567" s="4"/>
    </row>
    <row r="568" spans="10:10" x14ac:dyDescent="0.25">
      <c r="J568" s="4"/>
    </row>
    <row r="569" spans="10:10" x14ac:dyDescent="0.25">
      <c r="J569" s="4"/>
    </row>
    <row r="570" spans="10:10" x14ac:dyDescent="0.25">
      <c r="J570" s="4"/>
    </row>
    <row r="571" spans="10:10" x14ac:dyDescent="0.25">
      <c r="J571" s="4"/>
    </row>
    <row r="572" spans="10:10" x14ac:dyDescent="0.25">
      <c r="J572" s="4"/>
    </row>
    <row r="573" spans="10:10" x14ac:dyDescent="0.25">
      <c r="J573" s="4"/>
    </row>
    <row r="574" spans="10:10" x14ac:dyDescent="0.25">
      <c r="J574" s="4"/>
    </row>
    <row r="575" spans="10:10" x14ac:dyDescent="0.25">
      <c r="J575" s="4"/>
    </row>
    <row r="576" spans="10:10" x14ac:dyDescent="0.25">
      <c r="J576" s="4"/>
    </row>
    <row r="577" spans="10:10" x14ac:dyDescent="0.25">
      <c r="J577" s="4"/>
    </row>
    <row r="578" spans="10:10" x14ac:dyDescent="0.25">
      <c r="J578" s="4"/>
    </row>
    <row r="579" spans="10:10" x14ac:dyDescent="0.25">
      <c r="J579" s="4"/>
    </row>
    <row r="580" spans="10:10" x14ac:dyDescent="0.25">
      <c r="J580" s="4"/>
    </row>
    <row r="581" spans="10:10" x14ac:dyDescent="0.25">
      <c r="J581" s="4"/>
    </row>
    <row r="582" spans="10:10" x14ac:dyDescent="0.25">
      <c r="J582" s="4"/>
    </row>
    <row r="583" spans="10:10" x14ac:dyDescent="0.25">
      <c r="J583" s="4"/>
    </row>
    <row r="584" spans="10:10" x14ac:dyDescent="0.25">
      <c r="J584" s="4"/>
    </row>
    <row r="585" spans="10:10" x14ac:dyDescent="0.25">
      <c r="J585" s="4"/>
    </row>
    <row r="586" spans="10:10" x14ac:dyDescent="0.25">
      <c r="J586" s="4"/>
    </row>
    <row r="587" spans="10:10" x14ac:dyDescent="0.25">
      <c r="J587" s="4"/>
    </row>
    <row r="588" spans="10:10" x14ac:dyDescent="0.25">
      <c r="J588" s="4"/>
    </row>
    <row r="589" spans="10:10" x14ac:dyDescent="0.25">
      <c r="J589" s="4"/>
    </row>
    <row r="590" spans="10:10" x14ac:dyDescent="0.25">
      <c r="J590" s="4"/>
    </row>
    <row r="591" spans="10:10" x14ac:dyDescent="0.25">
      <c r="J591" s="4"/>
    </row>
    <row r="592" spans="10:10" x14ac:dyDescent="0.25">
      <c r="J592" s="4"/>
    </row>
    <row r="593" spans="10:10" x14ac:dyDescent="0.25">
      <c r="J593" s="4"/>
    </row>
    <row r="594" spans="10:10" x14ac:dyDescent="0.25">
      <c r="J594" s="4"/>
    </row>
    <row r="595" spans="10:10" x14ac:dyDescent="0.25">
      <c r="J595" s="4"/>
    </row>
    <row r="596" spans="10:10" x14ac:dyDescent="0.25">
      <c r="J596" s="4"/>
    </row>
    <row r="597" spans="10:10" x14ac:dyDescent="0.25">
      <c r="J597" s="4"/>
    </row>
    <row r="598" spans="10:10" x14ac:dyDescent="0.25">
      <c r="J598" s="4"/>
    </row>
    <row r="599" spans="10:10" x14ac:dyDescent="0.25">
      <c r="J599" s="4"/>
    </row>
    <row r="600" spans="10:10" x14ac:dyDescent="0.25">
      <c r="J600" s="4"/>
    </row>
    <row r="601" spans="10:10" x14ac:dyDescent="0.25">
      <c r="J601" s="4"/>
    </row>
    <row r="602" spans="10:10" x14ac:dyDescent="0.25">
      <c r="J602" s="4"/>
    </row>
    <row r="603" spans="10:10" x14ac:dyDescent="0.25">
      <c r="J603" s="4"/>
    </row>
    <row r="604" spans="10:10" x14ac:dyDescent="0.25">
      <c r="J604" s="4"/>
    </row>
    <row r="605" spans="10:10" x14ac:dyDescent="0.25">
      <c r="J605" s="4"/>
    </row>
    <row r="606" spans="10:10" x14ac:dyDescent="0.25">
      <c r="J606" s="4"/>
    </row>
    <row r="607" spans="10:10" x14ac:dyDescent="0.25">
      <c r="J607" s="4"/>
    </row>
    <row r="608" spans="10:10" x14ac:dyDescent="0.25">
      <c r="J608" s="4"/>
    </row>
    <row r="609" spans="10:10" x14ac:dyDescent="0.25">
      <c r="J609" s="4"/>
    </row>
    <row r="610" spans="10:10" x14ac:dyDescent="0.25">
      <c r="J610" s="4"/>
    </row>
    <row r="611" spans="10:10" x14ac:dyDescent="0.25">
      <c r="J611" s="4"/>
    </row>
    <row r="612" spans="10:10" x14ac:dyDescent="0.25">
      <c r="J612" s="4"/>
    </row>
    <row r="613" spans="10:10" x14ac:dyDescent="0.25">
      <c r="J613" s="4"/>
    </row>
    <row r="614" spans="10:10" x14ac:dyDescent="0.25">
      <c r="J614" s="4"/>
    </row>
    <row r="615" spans="10:10" x14ac:dyDescent="0.25">
      <c r="J615" s="4"/>
    </row>
    <row r="616" spans="10:10" x14ac:dyDescent="0.25">
      <c r="J616" s="4"/>
    </row>
    <row r="617" spans="10:10" x14ac:dyDescent="0.25">
      <c r="J617" s="4"/>
    </row>
    <row r="618" spans="10:10" x14ac:dyDescent="0.25">
      <c r="J618" s="4"/>
    </row>
    <row r="619" spans="10:10" x14ac:dyDescent="0.25">
      <c r="J619" s="4"/>
    </row>
    <row r="620" spans="10:10" x14ac:dyDescent="0.25">
      <c r="J620" s="4"/>
    </row>
    <row r="621" spans="10:10" x14ac:dyDescent="0.25">
      <c r="J621" s="4"/>
    </row>
    <row r="622" spans="10:10" x14ac:dyDescent="0.25">
      <c r="J622" s="4"/>
    </row>
    <row r="623" spans="10:10" x14ac:dyDescent="0.25">
      <c r="J623" s="4"/>
    </row>
    <row r="624" spans="10:10" x14ac:dyDescent="0.25">
      <c r="J624" s="4"/>
    </row>
    <row r="625" spans="10:10" x14ac:dyDescent="0.25">
      <c r="J625" s="4"/>
    </row>
    <row r="626" spans="10:10" x14ac:dyDescent="0.25">
      <c r="J626" s="4"/>
    </row>
    <row r="627" spans="10:10" x14ac:dyDescent="0.25">
      <c r="J627" s="4"/>
    </row>
    <row r="628" spans="10:10" x14ac:dyDescent="0.25">
      <c r="J628" s="4"/>
    </row>
    <row r="629" spans="10:10" x14ac:dyDescent="0.25">
      <c r="J629" s="4"/>
    </row>
    <row r="630" spans="10:10" x14ac:dyDescent="0.25">
      <c r="J630" s="4"/>
    </row>
    <row r="631" spans="10:10" x14ac:dyDescent="0.25">
      <c r="J631" s="4"/>
    </row>
    <row r="632" spans="10:10" x14ac:dyDescent="0.25">
      <c r="J632" s="4"/>
    </row>
    <row r="633" spans="10:10" x14ac:dyDescent="0.25">
      <c r="J633" s="4"/>
    </row>
    <row r="634" spans="10:10" x14ac:dyDescent="0.25">
      <c r="J634" s="4"/>
    </row>
    <row r="635" spans="10:10" x14ac:dyDescent="0.25">
      <c r="J635" s="4"/>
    </row>
    <row r="636" spans="10:10" x14ac:dyDescent="0.25">
      <c r="J636" s="4"/>
    </row>
    <row r="637" spans="10:10" x14ac:dyDescent="0.25">
      <c r="J637" s="4"/>
    </row>
    <row r="638" spans="10:10" x14ac:dyDescent="0.25">
      <c r="J638" s="4"/>
    </row>
    <row r="639" spans="10:10" x14ac:dyDescent="0.25">
      <c r="J639" s="4"/>
    </row>
    <row r="640" spans="10:10" x14ac:dyDescent="0.25">
      <c r="J640" s="4"/>
    </row>
    <row r="641" spans="10:10" x14ac:dyDescent="0.25">
      <c r="J641" s="4"/>
    </row>
    <row r="642" spans="10:10" x14ac:dyDescent="0.25">
      <c r="J642" s="4"/>
    </row>
    <row r="643" spans="10:10" x14ac:dyDescent="0.25">
      <c r="J643" s="4"/>
    </row>
    <row r="644" spans="10:10" x14ac:dyDescent="0.25">
      <c r="J644" s="4"/>
    </row>
    <row r="645" spans="10:10" x14ac:dyDescent="0.25">
      <c r="J645" s="4"/>
    </row>
    <row r="646" spans="10:10" x14ac:dyDescent="0.25">
      <c r="J646" s="4"/>
    </row>
    <row r="647" spans="10:10" x14ac:dyDescent="0.25">
      <c r="J647" s="4"/>
    </row>
    <row r="648" spans="10:10" x14ac:dyDescent="0.25">
      <c r="J648" s="4"/>
    </row>
    <row r="649" spans="10:10" x14ac:dyDescent="0.25">
      <c r="J649" s="4"/>
    </row>
    <row r="650" spans="10:10" x14ac:dyDescent="0.25">
      <c r="J650" s="4"/>
    </row>
    <row r="651" spans="10:10" x14ac:dyDescent="0.25">
      <c r="J651" s="4"/>
    </row>
    <row r="652" spans="10:10" x14ac:dyDescent="0.25">
      <c r="J652" s="4"/>
    </row>
    <row r="653" spans="10:10" x14ac:dyDescent="0.25">
      <c r="J653" s="4"/>
    </row>
    <row r="654" spans="10:10" x14ac:dyDescent="0.25">
      <c r="J654" s="4"/>
    </row>
    <row r="655" spans="10:10" x14ac:dyDescent="0.25">
      <c r="J655" s="4"/>
    </row>
    <row r="656" spans="10:10" x14ac:dyDescent="0.25">
      <c r="J656" s="4"/>
    </row>
    <row r="657" spans="10:10" x14ac:dyDescent="0.25">
      <c r="J657" s="4"/>
    </row>
    <row r="658" spans="10:10" x14ac:dyDescent="0.25">
      <c r="J658" s="4"/>
    </row>
    <row r="659" spans="10:10" x14ac:dyDescent="0.25">
      <c r="J659" s="4"/>
    </row>
    <row r="660" spans="10:10" x14ac:dyDescent="0.25">
      <c r="J660" s="4"/>
    </row>
    <row r="661" spans="10:10" x14ac:dyDescent="0.25">
      <c r="J661" s="4"/>
    </row>
    <row r="662" spans="10:10" x14ac:dyDescent="0.25">
      <c r="J662" s="4"/>
    </row>
    <row r="663" spans="10:10" x14ac:dyDescent="0.25">
      <c r="J663" s="4"/>
    </row>
    <row r="664" spans="10:10" x14ac:dyDescent="0.25">
      <c r="J664" s="4"/>
    </row>
    <row r="665" spans="10:10" x14ac:dyDescent="0.25">
      <c r="J665" s="4"/>
    </row>
    <row r="666" spans="10:10" x14ac:dyDescent="0.25">
      <c r="J666" s="4"/>
    </row>
    <row r="667" spans="10:10" x14ac:dyDescent="0.25">
      <c r="J667" s="4"/>
    </row>
    <row r="668" spans="10:10" x14ac:dyDescent="0.25">
      <c r="J668" s="4"/>
    </row>
    <row r="669" spans="10:10" x14ac:dyDescent="0.25">
      <c r="J669" s="4"/>
    </row>
    <row r="670" spans="10:10" x14ac:dyDescent="0.25">
      <c r="J670" s="4"/>
    </row>
    <row r="671" spans="10:10" x14ac:dyDescent="0.25">
      <c r="J671" s="4"/>
    </row>
    <row r="672" spans="10:10" x14ac:dyDescent="0.25">
      <c r="J672" s="4"/>
    </row>
    <row r="673" spans="10:10" x14ac:dyDescent="0.25">
      <c r="J673" s="4"/>
    </row>
    <row r="674" spans="10:10" x14ac:dyDescent="0.25">
      <c r="J674" s="4"/>
    </row>
    <row r="675" spans="10:10" x14ac:dyDescent="0.25">
      <c r="J675" s="4"/>
    </row>
    <row r="676" spans="10:10" x14ac:dyDescent="0.25">
      <c r="J676" s="4"/>
    </row>
    <row r="677" spans="10:10" x14ac:dyDescent="0.25">
      <c r="J677" s="4"/>
    </row>
    <row r="678" spans="10:10" x14ac:dyDescent="0.25">
      <c r="J678" s="4"/>
    </row>
    <row r="679" spans="10:10" x14ac:dyDescent="0.25">
      <c r="J679" s="4"/>
    </row>
    <row r="680" spans="10:10" x14ac:dyDescent="0.25">
      <c r="J680" s="4"/>
    </row>
    <row r="681" spans="10:10" x14ac:dyDescent="0.25">
      <c r="J681" s="4"/>
    </row>
    <row r="682" spans="10:10" x14ac:dyDescent="0.25">
      <c r="J682" s="4"/>
    </row>
    <row r="683" spans="10:10" x14ac:dyDescent="0.25">
      <c r="J683" s="4"/>
    </row>
    <row r="684" spans="10:10" x14ac:dyDescent="0.25">
      <c r="J684" s="4"/>
    </row>
    <row r="685" spans="10:10" x14ac:dyDescent="0.25">
      <c r="J685" s="4"/>
    </row>
    <row r="686" spans="10:10" x14ac:dyDescent="0.25">
      <c r="J686" s="4"/>
    </row>
    <row r="687" spans="10:10" x14ac:dyDescent="0.25">
      <c r="J687" s="4"/>
    </row>
    <row r="688" spans="10:10" x14ac:dyDescent="0.25">
      <c r="J688" s="4"/>
    </row>
    <row r="689" spans="10:10" x14ac:dyDescent="0.25">
      <c r="J689" s="4"/>
    </row>
    <row r="690" spans="10:10" x14ac:dyDescent="0.25">
      <c r="J690" s="4"/>
    </row>
    <row r="691" spans="10:10" x14ac:dyDescent="0.25">
      <c r="J691" s="4"/>
    </row>
    <row r="692" spans="10:10" x14ac:dyDescent="0.25">
      <c r="J692" s="4"/>
    </row>
    <row r="693" spans="10:10" x14ac:dyDescent="0.25">
      <c r="J693" s="4"/>
    </row>
    <row r="694" spans="10:10" x14ac:dyDescent="0.25">
      <c r="J694" s="4"/>
    </row>
    <row r="695" spans="10:10" x14ac:dyDescent="0.25">
      <c r="J695" s="4"/>
    </row>
    <row r="696" spans="10:10" x14ac:dyDescent="0.25">
      <c r="J696" s="4"/>
    </row>
    <row r="697" spans="10:10" x14ac:dyDescent="0.25">
      <c r="J697" s="4"/>
    </row>
    <row r="698" spans="10:10" x14ac:dyDescent="0.25">
      <c r="J698" s="4"/>
    </row>
    <row r="699" spans="10:10" x14ac:dyDescent="0.25">
      <c r="J699" s="4"/>
    </row>
    <row r="700" spans="10:10" x14ac:dyDescent="0.25">
      <c r="J700" s="4"/>
    </row>
    <row r="701" spans="10:10" x14ac:dyDescent="0.25">
      <c r="J701" s="4"/>
    </row>
    <row r="702" spans="10:10" x14ac:dyDescent="0.25">
      <c r="J702" s="4"/>
    </row>
    <row r="703" spans="10:10" x14ac:dyDescent="0.25">
      <c r="J703" s="4"/>
    </row>
    <row r="704" spans="10:10" x14ac:dyDescent="0.25">
      <c r="J704" s="4"/>
    </row>
    <row r="705" spans="10:10" x14ac:dyDescent="0.25">
      <c r="J705" s="4"/>
    </row>
    <row r="706" spans="10:10" x14ac:dyDescent="0.25">
      <c r="J706" s="4"/>
    </row>
    <row r="707" spans="10:10" x14ac:dyDescent="0.25">
      <c r="J707" s="4"/>
    </row>
    <row r="708" spans="10:10" x14ac:dyDescent="0.25">
      <c r="J708" s="4"/>
    </row>
    <row r="709" spans="10:10" x14ac:dyDescent="0.25">
      <c r="J709" s="4"/>
    </row>
    <row r="710" spans="10:10" x14ac:dyDescent="0.25">
      <c r="J710" s="4"/>
    </row>
    <row r="711" spans="10:10" x14ac:dyDescent="0.25">
      <c r="J711" s="4"/>
    </row>
    <row r="712" spans="10:10" x14ac:dyDescent="0.25">
      <c r="J712" s="4"/>
    </row>
    <row r="713" spans="10:10" x14ac:dyDescent="0.25">
      <c r="J713" s="4"/>
    </row>
    <row r="714" spans="10:10" x14ac:dyDescent="0.25">
      <c r="J714" s="4"/>
    </row>
    <row r="715" spans="10:10" x14ac:dyDescent="0.25">
      <c r="J715" s="4"/>
    </row>
    <row r="716" spans="10:10" x14ac:dyDescent="0.25">
      <c r="J716" s="4"/>
    </row>
    <row r="717" spans="10:10" x14ac:dyDescent="0.25">
      <c r="J717" s="4"/>
    </row>
    <row r="718" spans="10:10" x14ac:dyDescent="0.25">
      <c r="J718" s="4"/>
    </row>
    <row r="719" spans="10:10" x14ac:dyDescent="0.25">
      <c r="J719" s="4"/>
    </row>
    <row r="720" spans="10:10" x14ac:dyDescent="0.25">
      <c r="J720" s="4"/>
    </row>
    <row r="721" spans="10:10" x14ac:dyDescent="0.25">
      <c r="J721" s="4"/>
    </row>
    <row r="722" spans="10:10" x14ac:dyDescent="0.25">
      <c r="J722" s="4"/>
    </row>
    <row r="723" spans="10:10" x14ac:dyDescent="0.25">
      <c r="J723" s="4"/>
    </row>
    <row r="724" spans="10:10" x14ac:dyDescent="0.25">
      <c r="J724" s="4"/>
    </row>
    <row r="725" spans="10:10" x14ac:dyDescent="0.25">
      <c r="J725" s="4"/>
    </row>
    <row r="726" spans="10:10" x14ac:dyDescent="0.25">
      <c r="J726" s="4"/>
    </row>
    <row r="727" spans="10:10" x14ac:dyDescent="0.25">
      <c r="J727" s="4"/>
    </row>
    <row r="728" spans="10:10" x14ac:dyDescent="0.25">
      <c r="J728" s="4"/>
    </row>
    <row r="729" spans="10:10" x14ac:dyDescent="0.25">
      <c r="J729" s="4"/>
    </row>
    <row r="730" spans="10:10" x14ac:dyDescent="0.25">
      <c r="J730" s="4"/>
    </row>
    <row r="731" spans="10:10" x14ac:dyDescent="0.25">
      <c r="J731" s="4"/>
    </row>
    <row r="732" spans="10:10" x14ac:dyDescent="0.25">
      <c r="J732" s="4"/>
    </row>
    <row r="733" spans="10:10" x14ac:dyDescent="0.25">
      <c r="J733" s="4"/>
    </row>
    <row r="734" spans="10:10" x14ac:dyDescent="0.25">
      <c r="J734" s="4"/>
    </row>
    <row r="735" spans="10:10" x14ac:dyDescent="0.25">
      <c r="J735" s="4"/>
    </row>
    <row r="736" spans="10:10" x14ac:dyDescent="0.25">
      <c r="J736" s="4"/>
    </row>
    <row r="737" spans="10:10" x14ac:dyDescent="0.25">
      <c r="J737" s="4"/>
    </row>
    <row r="738" spans="10:10" x14ac:dyDescent="0.25">
      <c r="J738" s="4"/>
    </row>
    <row r="739" spans="10:10" x14ac:dyDescent="0.25">
      <c r="J739" s="4"/>
    </row>
    <row r="740" spans="10:10" x14ac:dyDescent="0.25">
      <c r="J740" s="4"/>
    </row>
    <row r="741" spans="10:10" x14ac:dyDescent="0.25">
      <c r="J741" s="4"/>
    </row>
    <row r="742" spans="10:10" x14ac:dyDescent="0.25">
      <c r="J742" s="4"/>
    </row>
    <row r="743" spans="10:10" x14ac:dyDescent="0.25">
      <c r="J743" s="4"/>
    </row>
    <row r="744" spans="10:10" x14ac:dyDescent="0.25">
      <c r="J744" s="4"/>
    </row>
    <row r="745" spans="10:10" x14ac:dyDescent="0.25">
      <c r="J745" s="4"/>
    </row>
    <row r="746" spans="10:10" x14ac:dyDescent="0.25">
      <c r="J746" s="4"/>
    </row>
    <row r="747" spans="10:10" x14ac:dyDescent="0.25">
      <c r="J747" s="4"/>
    </row>
    <row r="748" spans="10:10" x14ac:dyDescent="0.25">
      <c r="J748" s="4"/>
    </row>
    <row r="749" spans="10:10" x14ac:dyDescent="0.25">
      <c r="J749" s="4"/>
    </row>
    <row r="750" spans="10:10" x14ac:dyDescent="0.25">
      <c r="J750" s="4"/>
    </row>
    <row r="751" spans="10:10" x14ac:dyDescent="0.25">
      <c r="J751" s="4"/>
    </row>
    <row r="752" spans="10:10" x14ac:dyDescent="0.25">
      <c r="J752" s="4"/>
    </row>
    <row r="753" spans="10:10" x14ac:dyDescent="0.25">
      <c r="J753" s="4"/>
    </row>
    <row r="754" spans="10:10" x14ac:dyDescent="0.25">
      <c r="J754" s="4"/>
    </row>
    <row r="755" spans="10:10" x14ac:dyDescent="0.25">
      <c r="J755" s="4"/>
    </row>
    <row r="756" spans="10:10" x14ac:dyDescent="0.25">
      <c r="J756" s="4"/>
    </row>
    <row r="757" spans="10:10" x14ac:dyDescent="0.25">
      <c r="J757" s="4"/>
    </row>
    <row r="758" spans="10:10" x14ac:dyDescent="0.25">
      <c r="J758" s="4"/>
    </row>
    <row r="759" spans="10:10" x14ac:dyDescent="0.25">
      <c r="J759" s="4"/>
    </row>
    <row r="760" spans="10:10" x14ac:dyDescent="0.25">
      <c r="J760" s="4"/>
    </row>
    <row r="761" spans="10:10" x14ac:dyDescent="0.25">
      <c r="J761" s="4"/>
    </row>
    <row r="762" spans="10:10" x14ac:dyDescent="0.25">
      <c r="J762" s="4"/>
    </row>
    <row r="763" spans="10:10" x14ac:dyDescent="0.25">
      <c r="J763" s="4"/>
    </row>
    <row r="764" spans="10:10" x14ac:dyDescent="0.25">
      <c r="J764" s="4"/>
    </row>
    <row r="765" spans="10:10" x14ac:dyDescent="0.25">
      <c r="J765" s="4"/>
    </row>
    <row r="766" spans="10:10" x14ac:dyDescent="0.25">
      <c r="J766" s="4"/>
    </row>
    <row r="767" spans="10:10" x14ac:dyDescent="0.25">
      <c r="J767" s="4"/>
    </row>
    <row r="768" spans="10:10" x14ac:dyDescent="0.25">
      <c r="J768" s="4"/>
    </row>
    <row r="769" spans="10:10" x14ac:dyDescent="0.25">
      <c r="J769" s="4"/>
    </row>
    <row r="770" spans="10:10" x14ac:dyDescent="0.25">
      <c r="J770" s="4"/>
    </row>
    <row r="771" spans="10:10" x14ac:dyDescent="0.25">
      <c r="J771" s="4"/>
    </row>
    <row r="772" spans="10:10" x14ac:dyDescent="0.25">
      <c r="J772" s="4"/>
    </row>
    <row r="773" spans="10:10" x14ac:dyDescent="0.25">
      <c r="J773" s="4"/>
    </row>
    <row r="774" spans="10:10" x14ac:dyDescent="0.25">
      <c r="J774" s="4"/>
    </row>
    <row r="775" spans="10:10" x14ac:dyDescent="0.25">
      <c r="J775" s="4"/>
    </row>
    <row r="776" spans="10:10" x14ac:dyDescent="0.25">
      <c r="J776" s="4"/>
    </row>
    <row r="777" spans="10:10" x14ac:dyDescent="0.25">
      <c r="J777" s="4"/>
    </row>
    <row r="778" spans="10:10" x14ac:dyDescent="0.25">
      <c r="J778" s="4"/>
    </row>
    <row r="779" spans="10:10" x14ac:dyDescent="0.25">
      <c r="J779" s="4"/>
    </row>
    <row r="780" spans="10:10" x14ac:dyDescent="0.25">
      <c r="J780" s="4"/>
    </row>
    <row r="781" spans="10:10" x14ac:dyDescent="0.25">
      <c r="J781" s="4"/>
    </row>
    <row r="782" spans="10:10" x14ac:dyDescent="0.25">
      <c r="J782" s="4"/>
    </row>
    <row r="783" spans="10:10" x14ac:dyDescent="0.25">
      <c r="J783" s="4"/>
    </row>
    <row r="784" spans="10:10" x14ac:dyDescent="0.25">
      <c r="J784" s="4"/>
    </row>
    <row r="785" spans="10:10" x14ac:dyDescent="0.25">
      <c r="J785" s="4"/>
    </row>
    <row r="786" spans="10:10" x14ac:dyDescent="0.25">
      <c r="J786" s="4"/>
    </row>
    <row r="787" spans="10:10" x14ac:dyDescent="0.25">
      <c r="J787" s="4"/>
    </row>
    <row r="788" spans="10:10" x14ac:dyDescent="0.25">
      <c r="J788" s="4"/>
    </row>
    <row r="789" spans="10:10" x14ac:dyDescent="0.25">
      <c r="J789" s="4"/>
    </row>
    <row r="790" spans="10:10" x14ac:dyDescent="0.25">
      <c r="J790" s="4"/>
    </row>
    <row r="791" spans="10:10" x14ac:dyDescent="0.25">
      <c r="J791" s="4"/>
    </row>
    <row r="792" spans="10:10" x14ac:dyDescent="0.25">
      <c r="J792" s="4"/>
    </row>
    <row r="793" spans="10:10" x14ac:dyDescent="0.25">
      <c r="J793" s="4"/>
    </row>
    <row r="794" spans="10:10" x14ac:dyDescent="0.25">
      <c r="J794" s="4"/>
    </row>
    <row r="795" spans="10:10" x14ac:dyDescent="0.25">
      <c r="J795" s="4"/>
    </row>
    <row r="796" spans="10:10" x14ac:dyDescent="0.25">
      <c r="J796" s="4"/>
    </row>
    <row r="797" spans="10:10" x14ac:dyDescent="0.25">
      <c r="J797" s="4"/>
    </row>
    <row r="798" spans="10:10" x14ac:dyDescent="0.25">
      <c r="J798" s="4"/>
    </row>
    <row r="799" spans="10:10" x14ac:dyDescent="0.25">
      <c r="J799" s="4"/>
    </row>
    <row r="800" spans="10:10" x14ac:dyDescent="0.25">
      <c r="J800" s="4"/>
    </row>
    <row r="801" spans="10:10" x14ac:dyDescent="0.25">
      <c r="J801" s="4"/>
    </row>
    <row r="802" spans="10:10" x14ac:dyDescent="0.25">
      <c r="J802" s="4"/>
    </row>
    <row r="803" spans="10:10" x14ac:dyDescent="0.25">
      <c r="J803" s="4"/>
    </row>
    <row r="804" spans="10:10" x14ac:dyDescent="0.25">
      <c r="J804" s="4"/>
    </row>
    <row r="805" spans="10:10" x14ac:dyDescent="0.25">
      <c r="J805" s="4"/>
    </row>
    <row r="806" spans="10:10" x14ac:dyDescent="0.25">
      <c r="J806" s="4"/>
    </row>
    <row r="807" spans="10:10" x14ac:dyDescent="0.25">
      <c r="J807" s="4"/>
    </row>
    <row r="808" spans="10:10" x14ac:dyDescent="0.25">
      <c r="J808" s="4"/>
    </row>
    <row r="809" spans="10:10" x14ac:dyDescent="0.25">
      <c r="J809" s="4"/>
    </row>
    <row r="810" spans="10:10" x14ac:dyDescent="0.25">
      <c r="J810" s="4"/>
    </row>
    <row r="811" spans="10:10" x14ac:dyDescent="0.25">
      <c r="J811" s="4"/>
    </row>
    <row r="812" spans="10:10" x14ac:dyDescent="0.25">
      <c r="J812" s="4"/>
    </row>
    <row r="813" spans="10:10" x14ac:dyDescent="0.25">
      <c r="J813" s="4"/>
    </row>
    <row r="814" spans="10:10" x14ac:dyDescent="0.25">
      <c r="J814" s="4"/>
    </row>
    <row r="815" spans="10:10" x14ac:dyDescent="0.25">
      <c r="J815" s="4"/>
    </row>
    <row r="816" spans="10:10" x14ac:dyDescent="0.25">
      <c r="J816" s="4"/>
    </row>
    <row r="817" spans="10:10" x14ac:dyDescent="0.25">
      <c r="J817" s="4"/>
    </row>
    <row r="818" spans="10:10" x14ac:dyDescent="0.25">
      <c r="J818" s="4"/>
    </row>
    <row r="819" spans="10:10" x14ac:dyDescent="0.25">
      <c r="J819" s="4"/>
    </row>
    <row r="820" spans="10:10" x14ac:dyDescent="0.25">
      <c r="J820" s="4"/>
    </row>
    <row r="821" spans="10:10" x14ac:dyDescent="0.25">
      <c r="J821" s="4"/>
    </row>
    <row r="822" spans="10:10" x14ac:dyDescent="0.25">
      <c r="J822" s="4"/>
    </row>
    <row r="823" spans="10:10" x14ac:dyDescent="0.25">
      <c r="J823" s="4"/>
    </row>
    <row r="824" spans="10:10" x14ac:dyDescent="0.25">
      <c r="J824" s="4"/>
    </row>
    <row r="825" spans="10:10" x14ac:dyDescent="0.25">
      <c r="J825" s="4"/>
    </row>
    <row r="826" spans="10:10" x14ac:dyDescent="0.25">
      <c r="J826" s="4"/>
    </row>
    <row r="827" spans="10:10" x14ac:dyDescent="0.25">
      <c r="J827" s="4"/>
    </row>
    <row r="828" spans="10:10" x14ac:dyDescent="0.25">
      <c r="J828" s="4"/>
    </row>
    <row r="829" spans="10:10" x14ac:dyDescent="0.25">
      <c r="J829" s="4"/>
    </row>
    <row r="830" spans="10:10" x14ac:dyDescent="0.25">
      <c r="J830" s="4"/>
    </row>
    <row r="831" spans="10:10" x14ac:dyDescent="0.25">
      <c r="J831" s="4"/>
    </row>
    <row r="832" spans="10:10" x14ac:dyDescent="0.25">
      <c r="J832" s="4"/>
    </row>
    <row r="833" spans="10:10" x14ac:dyDescent="0.25">
      <c r="J833" s="4"/>
    </row>
    <row r="834" spans="10:10" x14ac:dyDescent="0.25">
      <c r="J834" s="4"/>
    </row>
    <row r="835" spans="10:10" x14ac:dyDescent="0.25">
      <c r="J835" s="4"/>
    </row>
    <row r="836" spans="10:10" x14ac:dyDescent="0.25">
      <c r="J836" s="4"/>
    </row>
    <row r="837" spans="10:10" x14ac:dyDescent="0.25">
      <c r="J837" s="4"/>
    </row>
    <row r="838" spans="10:10" x14ac:dyDescent="0.25">
      <c r="J838" s="4"/>
    </row>
    <row r="839" spans="10:10" x14ac:dyDescent="0.25">
      <c r="J839" s="4"/>
    </row>
    <row r="840" spans="10:10" x14ac:dyDescent="0.25">
      <c r="J840" s="4"/>
    </row>
    <row r="841" spans="10:10" x14ac:dyDescent="0.25">
      <c r="J841" s="4"/>
    </row>
    <row r="842" spans="10:10" x14ac:dyDescent="0.25">
      <c r="J842" s="4"/>
    </row>
    <row r="843" spans="10:10" x14ac:dyDescent="0.25">
      <c r="J843" s="4"/>
    </row>
    <row r="844" spans="10:10" x14ac:dyDescent="0.25">
      <c r="J844" s="4"/>
    </row>
    <row r="845" spans="10:10" x14ac:dyDescent="0.25">
      <c r="J845" s="4"/>
    </row>
    <row r="846" spans="10:10" x14ac:dyDescent="0.25">
      <c r="J846" s="4"/>
    </row>
    <row r="847" spans="10:10" x14ac:dyDescent="0.25">
      <c r="J847" s="4"/>
    </row>
    <row r="848" spans="10:10" x14ac:dyDescent="0.25">
      <c r="J848" s="4"/>
    </row>
    <row r="849" spans="10:10" x14ac:dyDescent="0.25">
      <c r="J849" s="4"/>
    </row>
    <row r="850" spans="10:10" x14ac:dyDescent="0.25">
      <c r="J850" s="4"/>
    </row>
    <row r="851" spans="10:10" x14ac:dyDescent="0.25">
      <c r="J851" s="4"/>
    </row>
    <row r="852" spans="10:10" x14ac:dyDescent="0.25">
      <c r="J852" s="4"/>
    </row>
    <row r="853" spans="10:10" x14ac:dyDescent="0.25">
      <c r="J853" s="4"/>
    </row>
    <row r="854" spans="10:10" x14ac:dyDescent="0.25">
      <c r="J854" s="4"/>
    </row>
    <row r="855" spans="10:10" x14ac:dyDescent="0.25">
      <c r="J855" s="4"/>
    </row>
    <row r="856" spans="10:10" x14ac:dyDescent="0.25">
      <c r="J856" s="4"/>
    </row>
    <row r="857" spans="10:10" x14ac:dyDescent="0.25">
      <c r="J857" s="4"/>
    </row>
    <row r="858" spans="10:10" x14ac:dyDescent="0.25">
      <c r="J858" s="4"/>
    </row>
    <row r="859" spans="10:10" x14ac:dyDescent="0.25">
      <c r="J859" s="4"/>
    </row>
    <row r="860" spans="10:10" x14ac:dyDescent="0.25">
      <c r="J860" s="4"/>
    </row>
    <row r="861" spans="10:10" x14ac:dyDescent="0.25">
      <c r="J861" s="4"/>
    </row>
    <row r="862" spans="10:10" x14ac:dyDescent="0.25">
      <c r="J862" s="4"/>
    </row>
    <row r="863" spans="10:10" x14ac:dyDescent="0.25">
      <c r="J863" s="4"/>
    </row>
    <row r="864" spans="10:10" x14ac:dyDescent="0.25">
      <c r="J864" s="4"/>
    </row>
    <row r="865" spans="10:10" x14ac:dyDescent="0.25">
      <c r="J865" s="4"/>
    </row>
    <row r="866" spans="10:10" x14ac:dyDescent="0.25">
      <c r="J866" s="4"/>
    </row>
    <row r="867" spans="10:10" x14ac:dyDescent="0.25">
      <c r="J867" s="4"/>
    </row>
    <row r="868" spans="10:10" x14ac:dyDescent="0.25">
      <c r="J868" s="4"/>
    </row>
    <row r="869" spans="10:10" x14ac:dyDescent="0.25">
      <c r="J869" s="4"/>
    </row>
    <row r="870" spans="10:10" x14ac:dyDescent="0.25">
      <c r="J870" s="4"/>
    </row>
    <row r="871" spans="10:10" x14ac:dyDescent="0.25">
      <c r="J871" s="4"/>
    </row>
    <row r="872" spans="10:10" x14ac:dyDescent="0.25">
      <c r="J872" s="4"/>
    </row>
    <row r="873" spans="10:10" x14ac:dyDescent="0.25">
      <c r="J873" s="4"/>
    </row>
    <row r="874" spans="10:10" x14ac:dyDescent="0.25">
      <c r="J874" s="4"/>
    </row>
    <row r="875" spans="10:10" x14ac:dyDescent="0.25">
      <c r="J875" s="4"/>
    </row>
    <row r="876" spans="10:10" x14ac:dyDescent="0.25">
      <c r="J876" s="4"/>
    </row>
    <row r="877" spans="10:10" x14ac:dyDescent="0.25">
      <c r="J877" s="4"/>
    </row>
    <row r="878" spans="10:10" x14ac:dyDescent="0.25">
      <c r="J878" s="4"/>
    </row>
    <row r="879" spans="10:10" x14ac:dyDescent="0.25">
      <c r="J879" s="4"/>
    </row>
    <row r="880" spans="10:10" x14ac:dyDescent="0.25">
      <c r="J880" s="4"/>
    </row>
    <row r="881" spans="10:10" x14ac:dyDescent="0.25">
      <c r="J881" s="4"/>
    </row>
    <row r="882" spans="10:10" x14ac:dyDescent="0.25">
      <c r="J882" s="4"/>
    </row>
    <row r="883" spans="10:10" x14ac:dyDescent="0.25">
      <c r="J883" s="4"/>
    </row>
    <row r="884" spans="10:10" x14ac:dyDescent="0.25">
      <c r="J884" s="4"/>
    </row>
    <row r="885" spans="10:10" x14ac:dyDescent="0.25">
      <c r="J885" s="4"/>
    </row>
    <row r="886" spans="10:10" x14ac:dyDescent="0.25">
      <c r="J886" s="4"/>
    </row>
    <row r="887" spans="10:10" x14ac:dyDescent="0.25">
      <c r="J887" s="4"/>
    </row>
    <row r="888" spans="10:10" x14ac:dyDescent="0.25">
      <c r="J888" s="4"/>
    </row>
    <row r="889" spans="10:10" x14ac:dyDescent="0.25">
      <c r="J889" s="4"/>
    </row>
    <row r="890" spans="10:10" x14ac:dyDescent="0.25">
      <c r="J890" s="4"/>
    </row>
    <row r="891" spans="10:10" x14ac:dyDescent="0.25">
      <c r="J891" s="4"/>
    </row>
    <row r="892" spans="10:10" x14ac:dyDescent="0.25">
      <c r="J892" s="4"/>
    </row>
    <row r="893" spans="10:10" x14ac:dyDescent="0.25">
      <c r="J893" s="4"/>
    </row>
    <row r="894" spans="10:10" x14ac:dyDescent="0.25">
      <c r="J894" s="4"/>
    </row>
    <row r="895" spans="10:10" x14ac:dyDescent="0.25">
      <c r="J895" s="4"/>
    </row>
    <row r="896" spans="10:10" x14ac:dyDescent="0.25">
      <c r="J896" s="4"/>
    </row>
    <row r="897" spans="10:10" x14ac:dyDescent="0.25">
      <c r="J897" s="4"/>
    </row>
    <row r="898" spans="10:10" x14ac:dyDescent="0.25">
      <c r="J898" s="4"/>
    </row>
    <row r="899" spans="10:10" x14ac:dyDescent="0.25">
      <c r="J899" s="4"/>
    </row>
    <row r="900" spans="10:10" x14ac:dyDescent="0.25">
      <c r="J900" s="4"/>
    </row>
    <row r="901" spans="10:10" x14ac:dyDescent="0.25">
      <c r="J901" s="4"/>
    </row>
    <row r="902" spans="10:10" x14ac:dyDescent="0.25">
      <c r="J902" s="4"/>
    </row>
    <row r="903" spans="10:10" x14ac:dyDescent="0.25">
      <c r="J903" s="4"/>
    </row>
    <row r="904" spans="10:10" x14ac:dyDescent="0.25">
      <c r="J904" s="4"/>
    </row>
    <row r="905" spans="10:10" x14ac:dyDescent="0.25">
      <c r="J905" s="4"/>
    </row>
    <row r="906" spans="10:10" x14ac:dyDescent="0.25">
      <c r="J906" s="4"/>
    </row>
    <row r="907" spans="10:10" x14ac:dyDescent="0.25">
      <c r="J907" s="4"/>
    </row>
    <row r="908" spans="10:10" x14ac:dyDescent="0.25">
      <c r="J908" s="4"/>
    </row>
    <row r="909" spans="10:10" x14ac:dyDescent="0.25">
      <c r="J909" s="4"/>
    </row>
    <row r="910" spans="10:10" x14ac:dyDescent="0.25">
      <c r="J910" s="4"/>
    </row>
    <row r="911" spans="10:10" x14ac:dyDescent="0.25">
      <c r="J911" s="4"/>
    </row>
    <row r="912" spans="10:10" x14ac:dyDescent="0.25">
      <c r="J912" s="4"/>
    </row>
    <row r="913" spans="10:10" x14ac:dyDescent="0.25">
      <c r="J913" s="4"/>
    </row>
    <row r="914" spans="10:10" x14ac:dyDescent="0.25">
      <c r="J914" s="4"/>
    </row>
    <row r="915" spans="10:10" x14ac:dyDescent="0.25">
      <c r="J915" s="4"/>
    </row>
    <row r="916" spans="10:10" x14ac:dyDescent="0.25">
      <c r="J916" s="4"/>
    </row>
    <row r="917" spans="10:10" x14ac:dyDescent="0.25">
      <c r="J917" s="4"/>
    </row>
    <row r="918" spans="10:10" x14ac:dyDescent="0.25">
      <c r="J918" s="4"/>
    </row>
    <row r="919" spans="10:10" x14ac:dyDescent="0.25">
      <c r="J919" s="4"/>
    </row>
    <row r="920" spans="10:10" x14ac:dyDescent="0.25">
      <c r="J920" s="4"/>
    </row>
    <row r="921" spans="10:10" x14ac:dyDescent="0.25">
      <c r="J921" s="4"/>
    </row>
    <row r="922" spans="10:10" x14ac:dyDescent="0.25">
      <c r="J922" s="4"/>
    </row>
    <row r="923" spans="10:10" x14ac:dyDescent="0.25">
      <c r="J923" s="4"/>
    </row>
    <row r="924" spans="10:10" x14ac:dyDescent="0.25">
      <c r="J924" s="4"/>
    </row>
    <row r="925" spans="10:10" x14ac:dyDescent="0.25">
      <c r="J925" s="4"/>
    </row>
    <row r="926" spans="10:10" x14ac:dyDescent="0.25">
      <c r="J926" s="4"/>
    </row>
    <row r="927" spans="10:10" x14ac:dyDescent="0.25">
      <c r="J927" s="4"/>
    </row>
    <row r="928" spans="10:10" x14ac:dyDescent="0.25">
      <c r="J928" s="4"/>
    </row>
    <row r="929" spans="10:10" x14ac:dyDescent="0.25">
      <c r="J929" s="4"/>
    </row>
    <row r="930" spans="10:10" x14ac:dyDescent="0.25">
      <c r="J930" s="4"/>
    </row>
    <row r="931" spans="10:10" x14ac:dyDescent="0.25">
      <c r="J931" s="4"/>
    </row>
    <row r="932" spans="10:10" x14ac:dyDescent="0.25">
      <c r="J932" s="4"/>
    </row>
    <row r="933" spans="10:10" x14ac:dyDescent="0.25">
      <c r="J933" s="4"/>
    </row>
    <row r="934" spans="10:10" x14ac:dyDescent="0.25">
      <c r="J934" s="4"/>
    </row>
    <row r="935" spans="10:10" x14ac:dyDescent="0.25">
      <c r="J935" s="4"/>
    </row>
    <row r="936" spans="10:10" x14ac:dyDescent="0.25">
      <c r="J936" s="4"/>
    </row>
    <row r="937" spans="10:10" x14ac:dyDescent="0.25">
      <c r="J937" s="4"/>
    </row>
    <row r="938" spans="10:10" x14ac:dyDescent="0.25">
      <c r="J938" s="4"/>
    </row>
    <row r="939" spans="10:10" x14ac:dyDescent="0.25">
      <c r="J939" s="4"/>
    </row>
    <row r="940" spans="10:10" x14ac:dyDescent="0.25">
      <c r="J940" s="4"/>
    </row>
    <row r="941" spans="10:10" x14ac:dyDescent="0.25">
      <c r="J941" s="4"/>
    </row>
    <row r="942" spans="10:10" x14ac:dyDescent="0.25">
      <c r="J942" s="4"/>
    </row>
    <row r="943" spans="10:10" x14ac:dyDescent="0.25">
      <c r="J943" s="4"/>
    </row>
    <row r="944" spans="10:10" x14ac:dyDescent="0.25">
      <c r="J944" s="4"/>
    </row>
    <row r="945" spans="10:10" x14ac:dyDescent="0.25">
      <c r="J945" s="4"/>
    </row>
    <row r="946" spans="10:10" x14ac:dyDescent="0.25">
      <c r="J946" s="4"/>
    </row>
    <row r="947" spans="10:10" x14ac:dyDescent="0.25">
      <c r="J947" s="4"/>
    </row>
    <row r="948" spans="10:10" x14ac:dyDescent="0.25">
      <c r="J948" s="4"/>
    </row>
    <row r="949" spans="10:10" x14ac:dyDescent="0.25">
      <c r="J949" s="4"/>
    </row>
    <row r="950" spans="10:10" x14ac:dyDescent="0.25">
      <c r="J950" s="4"/>
    </row>
    <row r="951" spans="10:10" x14ac:dyDescent="0.25">
      <c r="J951" s="4"/>
    </row>
    <row r="952" spans="10:10" x14ac:dyDescent="0.25">
      <c r="J952" s="4"/>
    </row>
    <row r="953" spans="10:10" x14ac:dyDescent="0.25">
      <c r="J953" s="4"/>
    </row>
    <row r="954" spans="10:10" x14ac:dyDescent="0.25">
      <c r="J954" s="4"/>
    </row>
    <row r="955" spans="10:10" x14ac:dyDescent="0.25">
      <c r="J955" s="4"/>
    </row>
    <row r="956" spans="10:10" x14ac:dyDescent="0.25">
      <c r="J956" s="4"/>
    </row>
    <row r="957" spans="10:10" x14ac:dyDescent="0.25">
      <c r="J957" s="4"/>
    </row>
    <row r="958" spans="10:10" x14ac:dyDescent="0.25">
      <c r="J958" s="4"/>
    </row>
    <row r="959" spans="10:10" x14ac:dyDescent="0.25">
      <c r="J959" s="4"/>
    </row>
    <row r="960" spans="10:10" x14ac:dyDescent="0.25">
      <c r="J960" s="4"/>
    </row>
    <row r="961" spans="10:10" x14ac:dyDescent="0.25">
      <c r="J961" s="4"/>
    </row>
    <row r="962" spans="10:10" x14ac:dyDescent="0.25">
      <c r="J962" s="4"/>
    </row>
    <row r="963" spans="10:10" x14ac:dyDescent="0.25">
      <c r="J963" s="4"/>
    </row>
    <row r="964" spans="10:10" x14ac:dyDescent="0.25">
      <c r="J964" s="4"/>
    </row>
    <row r="965" spans="10:10" x14ac:dyDescent="0.25">
      <c r="J965" s="4"/>
    </row>
    <row r="966" spans="10:10" x14ac:dyDescent="0.25">
      <c r="J966" s="4"/>
    </row>
    <row r="967" spans="10:10" x14ac:dyDescent="0.25">
      <c r="J967" s="4"/>
    </row>
    <row r="968" spans="10:10" x14ac:dyDescent="0.25">
      <c r="J968" s="4"/>
    </row>
    <row r="969" spans="10:10" x14ac:dyDescent="0.25">
      <c r="J969" s="4"/>
    </row>
    <row r="970" spans="10:10" x14ac:dyDescent="0.25">
      <c r="J970" s="4"/>
    </row>
    <row r="971" spans="10:10" x14ac:dyDescent="0.25">
      <c r="J971" s="4"/>
    </row>
    <row r="972" spans="10:10" x14ac:dyDescent="0.25">
      <c r="J972" s="4"/>
    </row>
    <row r="973" spans="10:10" x14ac:dyDescent="0.25">
      <c r="J973" s="4"/>
    </row>
    <row r="974" spans="10:10" x14ac:dyDescent="0.25">
      <c r="J974" s="4"/>
    </row>
    <row r="975" spans="10:10" x14ac:dyDescent="0.25">
      <c r="J975" s="4"/>
    </row>
    <row r="976" spans="10:10" x14ac:dyDescent="0.25">
      <c r="J976" s="4"/>
    </row>
    <row r="977" spans="10:10" x14ac:dyDescent="0.25">
      <c r="J977" s="4"/>
    </row>
    <row r="978" spans="10:10" x14ac:dyDescent="0.25">
      <c r="J978" s="4"/>
    </row>
    <row r="979" spans="10:10" x14ac:dyDescent="0.25">
      <c r="J979" s="4"/>
    </row>
    <row r="980" spans="10:10" x14ac:dyDescent="0.25">
      <c r="J980" s="4"/>
    </row>
    <row r="981" spans="10:10" x14ac:dyDescent="0.25">
      <c r="J981" s="4"/>
    </row>
    <row r="982" spans="10:10" x14ac:dyDescent="0.25">
      <c r="J982" s="4"/>
    </row>
    <row r="983" spans="10:10" x14ac:dyDescent="0.25">
      <c r="J983" s="4"/>
    </row>
    <row r="984" spans="10:10" x14ac:dyDescent="0.25">
      <c r="J984" s="4"/>
    </row>
    <row r="985" spans="10:10" x14ac:dyDescent="0.25">
      <c r="J985" s="4"/>
    </row>
    <row r="986" spans="10:10" x14ac:dyDescent="0.25">
      <c r="J986" s="4"/>
    </row>
    <row r="987" spans="10:10" x14ac:dyDescent="0.25">
      <c r="J987" s="4"/>
    </row>
    <row r="988" spans="10:10" x14ac:dyDescent="0.25">
      <c r="J988" s="4"/>
    </row>
    <row r="989" spans="10:10" x14ac:dyDescent="0.25">
      <c r="J989" s="4"/>
    </row>
    <row r="990" spans="10:10" x14ac:dyDescent="0.25">
      <c r="J990" s="4"/>
    </row>
    <row r="991" spans="10:10" x14ac:dyDescent="0.25">
      <c r="J991" s="4"/>
    </row>
    <row r="992" spans="10:10" x14ac:dyDescent="0.25">
      <c r="J992" s="4"/>
    </row>
    <row r="993" spans="10:10" x14ac:dyDescent="0.25">
      <c r="J993" s="4"/>
    </row>
    <row r="994" spans="10:10" x14ac:dyDescent="0.25">
      <c r="J994" s="4"/>
    </row>
    <row r="995" spans="10:10" x14ac:dyDescent="0.25">
      <c r="J995" s="4"/>
    </row>
    <row r="996" spans="10:10" x14ac:dyDescent="0.25">
      <c r="J996" s="4"/>
    </row>
    <row r="997" spans="10:10" x14ac:dyDescent="0.25">
      <c r="J997" s="4"/>
    </row>
    <row r="998" spans="10:10" x14ac:dyDescent="0.25">
      <c r="J998" s="4"/>
    </row>
    <row r="999" spans="10:10" x14ac:dyDescent="0.25">
      <c r="J999" s="4"/>
    </row>
    <row r="1000" spans="10:10" x14ac:dyDescent="0.25">
      <c r="J10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3" width="9.285714285714286" customWidth="1"/>
    <col min="4" max="4" width="25.857142857142858" customWidth="1"/>
    <col min="5" max="7" width="9.285714285714286" customWidth="1"/>
    <col min="8" max="8" width="13.571428571428571" customWidth="1"/>
    <col min="9" max="9" width="9.285714285714286" customWidth="1"/>
    <col min="10" max="10" width="9.571428571428571" customWidth="1"/>
    <col min="11" max="24" width="13.571428571428571" customWidth="1"/>
  </cols>
  <sheetData>
    <row r="1" spans="1:10" x14ac:dyDescent="0.25">
      <c r="A1" s="1" t="s">
        <v>96</v>
      </c>
      <c r="B1" s="1" t="s">
        <v>24</v>
      </c>
      <c r="C1" s="1" t="s">
        <v>25</v>
      </c>
      <c r="D1" s="1" t="s">
        <v>26</v>
      </c>
      <c r="E1" s="1" t="s">
        <v>98</v>
      </c>
      <c r="F1" s="1" t="s">
        <v>36</v>
      </c>
      <c r="G1" s="1" t="s">
        <v>37</v>
      </c>
      <c r="H1" s="1" t="s">
        <v>38</v>
      </c>
      <c r="I1" s="1" t="s">
        <v>110</v>
      </c>
      <c r="J1" s="4" t="s">
        <v>111</v>
      </c>
    </row>
    <row r="2" spans="1:10" x14ac:dyDescent="0.25">
      <c r="A2" s="3" t="s">
        <v>44</v>
      </c>
      <c r="B2" s="1" t="s">
        <v>113</v>
      </c>
      <c r="C2" s="3" t="s">
        <v>46</v>
      </c>
      <c r="D2" s="3" t="s">
        <v>47</v>
      </c>
      <c r="E2" s="1" t="s">
        <v>98</v>
      </c>
      <c r="J2" s="4"/>
    </row>
    <row r="3" spans="1:10" x14ac:dyDescent="0.25">
      <c r="A3" s="3" t="s">
        <v>57</v>
      </c>
      <c r="B3" s="1" t="s">
        <v>113</v>
      </c>
      <c r="C3" s="3" t="s">
        <v>46</v>
      </c>
      <c r="D3" s="3" t="s">
        <v>58</v>
      </c>
      <c r="J3" s="4"/>
    </row>
    <row r="4" spans="1:10" x14ac:dyDescent="0.25">
      <c r="A4" s="3" t="s">
        <v>60</v>
      </c>
      <c r="B4" s="1" t="s">
        <v>113</v>
      </c>
      <c r="C4" s="3" t="s">
        <v>46</v>
      </c>
      <c r="D4" s="3" t="s">
        <v>61</v>
      </c>
      <c r="J4" s="4"/>
    </row>
    <row r="5" spans="1:10" x14ac:dyDescent="0.25">
      <c r="A5" s="3" t="s">
        <v>63</v>
      </c>
      <c r="B5" s="1" t="s">
        <v>113</v>
      </c>
      <c r="C5" s="3" t="s">
        <v>46</v>
      </c>
      <c r="D5" s="3" t="s">
        <v>64</v>
      </c>
      <c r="J5" s="4"/>
    </row>
    <row r="6" spans="1:10" x14ac:dyDescent="0.25">
      <c r="A6" s="3" t="s">
        <v>65</v>
      </c>
      <c r="B6" s="1" t="s">
        <v>113</v>
      </c>
      <c r="C6" s="3" t="s">
        <v>46</v>
      </c>
      <c r="D6" s="3" t="s">
        <v>66</v>
      </c>
      <c r="J6" s="4"/>
    </row>
    <row r="7" spans="1:10" x14ac:dyDescent="0.25">
      <c r="A7" s="3">
        <v>10</v>
      </c>
      <c r="B7" s="1" t="s">
        <v>113</v>
      </c>
      <c r="C7" s="3" t="s">
        <v>46</v>
      </c>
      <c r="D7" s="3" t="s">
        <v>67</v>
      </c>
      <c r="J7" s="4"/>
    </row>
    <row r="8" spans="1:10" x14ac:dyDescent="0.25">
      <c r="A8" s="3">
        <v>12</v>
      </c>
      <c r="B8" s="1" t="s">
        <v>113</v>
      </c>
      <c r="C8" s="3" t="s">
        <v>46</v>
      </c>
      <c r="D8" s="3" t="s">
        <v>68</v>
      </c>
      <c r="J8" s="4"/>
    </row>
    <row r="9" spans="1:10" x14ac:dyDescent="0.25">
      <c r="A9" s="3">
        <v>13</v>
      </c>
      <c r="B9" s="1" t="s">
        <v>113</v>
      </c>
      <c r="C9" s="3" t="s">
        <v>46</v>
      </c>
      <c r="D9" s="3" t="s">
        <v>69</v>
      </c>
      <c r="J9" s="4"/>
    </row>
    <row r="10" spans="1:10" x14ac:dyDescent="0.25">
      <c r="A10" s="3">
        <v>14</v>
      </c>
      <c r="B10" s="1" t="s">
        <v>113</v>
      </c>
      <c r="C10" s="3" t="s">
        <v>46</v>
      </c>
      <c r="D10" s="3" t="s">
        <v>71</v>
      </c>
      <c r="J10" s="4"/>
    </row>
    <row r="11" spans="1:10" x14ac:dyDescent="0.25">
      <c r="A11" s="3">
        <v>16</v>
      </c>
      <c r="B11" s="1" t="s">
        <v>113</v>
      </c>
      <c r="C11" s="3" t="s">
        <v>46</v>
      </c>
      <c r="D11" s="3" t="s">
        <v>72</v>
      </c>
      <c r="J11" s="4"/>
    </row>
    <row r="12" spans="1:10" x14ac:dyDescent="0.25">
      <c r="A12" s="3">
        <v>17</v>
      </c>
      <c r="B12" s="1" t="s">
        <v>113</v>
      </c>
      <c r="C12" s="3" t="s">
        <v>46</v>
      </c>
      <c r="D12" s="3" t="s">
        <v>73</v>
      </c>
      <c r="J12" s="4"/>
    </row>
    <row r="13" spans="1:10" x14ac:dyDescent="0.25">
      <c r="A13" s="3">
        <v>18</v>
      </c>
      <c r="B13" s="1" t="s">
        <v>113</v>
      </c>
      <c r="C13" s="3" t="s">
        <v>46</v>
      </c>
      <c r="D13" s="3" t="s">
        <v>74</v>
      </c>
      <c r="J13" s="4"/>
    </row>
    <row r="14" spans="1:10" x14ac:dyDescent="0.25">
      <c r="A14" s="3">
        <v>20</v>
      </c>
      <c r="B14" s="1" t="s">
        <v>113</v>
      </c>
      <c r="C14" s="3" t="s">
        <v>46</v>
      </c>
      <c r="D14" s="3" t="s">
        <v>75</v>
      </c>
      <c r="J14" s="4"/>
    </row>
    <row r="15" spans="1:10" x14ac:dyDescent="0.25">
      <c r="A15" s="3">
        <v>22</v>
      </c>
      <c r="B15" s="1" t="s">
        <v>113</v>
      </c>
      <c r="C15" s="3" t="s">
        <v>46</v>
      </c>
      <c r="D15" s="3" t="s">
        <v>76</v>
      </c>
      <c r="J15" s="4"/>
    </row>
    <row r="16" spans="1:10" x14ac:dyDescent="0.25">
      <c r="A16" s="3">
        <v>23</v>
      </c>
      <c r="B16" s="1" t="s">
        <v>113</v>
      </c>
      <c r="C16" s="3" t="s">
        <v>46</v>
      </c>
      <c r="D16" s="3" t="s">
        <v>77</v>
      </c>
      <c r="J16" s="4"/>
    </row>
    <row r="17" spans="1:10" x14ac:dyDescent="0.25">
      <c r="A17" s="3">
        <v>25</v>
      </c>
      <c r="B17" s="1" t="s">
        <v>113</v>
      </c>
      <c r="C17" s="3" t="s">
        <v>46</v>
      </c>
      <c r="D17" s="3" t="s">
        <v>78</v>
      </c>
      <c r="J17" s="4"/>
    </row>
    <row r="18" spans="1:10" x14ac:dyDescent="0.25">
      <c r="A18" s="3">
        <v>26</v>
      </c>
      <c r="B18" s="1" t="s">
        <v>113</v>
      </c>
      <c r="C18" s="3" t="s">
        <v>46</v>
      </c>
      <c r="D18" s="3" t="s">
        <v>79</v>
      </c>
      <c r="J18" s="4"/>
    </row>
    <row r="19" spans="1:10" x14ac:dyDescent="0.25">
      <c r="A19" s="3">
        <v>27</v>
      </c>
      <c r="B19" s="1" t="s">
        <v>113</v>
      </c>
      <c r="C19" s="3" t="s">
        <v>46</v>
      </c>
      <c r="D19" s="3" t="s">
        <v>80</v>
      </c>
      <c r="J19" s="4"/>
    </row>
    <row r="20" spans="1:10" x14ac:dyDescent="0.25">
      <c r="A20" s="3">
        <v>28</v>
      </c>
      <c r="B20" s="1" t="s">
        <v>113</v>
      </c>
      <c r="C20" s="3" t="s">
        <v>46</v>
      </c>
      <c r="D20" s="3" t="s">
        <v>81</v>
      </c>
      <c r="J20" s="4"/>
    </row>
    <row r="21" spans="1:10" x14ac:dyDescent="0.25">
      <c r="A21" s="3">
        <v>29</v>
      </c>
      <c r="B21" s="1" t="s">
        <v>113</v>
      </c>
      <c r="C21" s="3" t="s">
        <v>46</v>
      </c>
      <c r="D21" s="3" t="s">
        <v>82</v>
      </c>
      <c r="J21" s="4"/>
    </row>
    <row r="22" spans="1:10" x14ac:dyDescent="0.25">
      <c r="A22" s="3">
        <v>30</v>
      </c>
      <c r="B22" s="1" t="s">
        <v>113</v>
      </c>
      <c r="C22" s="3" t="s">
        <v>46</v>
      </c>
      <c r="D22" s="3" t="s">
        <v>83</v>
      </c>
      <c r="J22" s="4"/>
    </row>
    <row r="23" spans="1:10" x14ac:dyDescent="0.25">
      <c r="A23" s="3">
        <v>32</v>
      </c>
      <c r="B23" s="1" t="s">
        <v>113</v>
      </c>
      <c r="C23" s="3" t="s">
        <v>46</v>
      </c>
      <c r="D23" s="3" t="s">
        <v>108</v>
      </c>
      <c r="J23" s="4"/>
    </row>
    <row r="24" spans="1:10" x14ac:dyDescent="0.25">
      <c r="A24" s="3">
        <v>34</v>
      </c>
      <c r="B24" s="1" t="s">
        <v>113</v>
      </c>
      <c r="C24" s="3" t="s">
        <v>46</v>
      </c>
      <c r="D24" s="3" t="s">
        <v>85</v>
      </c>
      <c r="J24" s="4"/>
    </row>
    <row r="25" spans="1:10" x14ac:dyDescent="0.25">
      <c r="A25" s="3">
        <v>35</v>
      </c>
      <c r="B25" s="1" t="s">
        <v>113</v>
      </c>
      <c r="C25" s="3" t="s">
        <v>46</v>
      </c>
      <c r="D25" s="3" t="s">
        <v>84</v>
      </c>
      <c r="J25" s="4"/>
    </row>
    <row r="26" spans="1:10" x14ac:dyDescent="0.25">
      <c r="A26" s="3">
        <v>36</v>
      </c>
      <c r="B26" s="1" t="s">
        <v>113</v>
      </c>
      <c r="C26" s="3" t="s">
        <v>46</v>
      </c>
      <c r="D26" s="3" t="s">
        <v>86</v>
      </c>
      <c r="J26" s="4"/>
    </row>
    <row r="27" spans="1:10" x14ac:dyDescent="0.25">
      <c r="A27" s="3">
        <v>37</v>
      </c>
      <c r="B27" s="1" t="s">
        <v>113</v>
      </c>
      <c r="C27" s="3" t="s">
        <v>46</v>
      </c>
      <c r="D27" s="3" t="s">
        <v>87</v>
      </c>
      <c r="J27" s="4"/>
    </row>
    <row r="28" spans="1:10" x14ac:dyDescent="0.25">
      <c r="A28" s="3">
        <v>39</v>
      </c>
      <c r="B28" s="1" t="s">
        <v>113</v>
      </c>
      <c r="C28" s="3" t="s">
        <v>46</v>
      </c>
      <c r="D28" s="3" t="s">
        <v>88</v>
      </c>
      <c r="J28" s="4"/>
    </row>
    <row r="29" spans="1:10" x14ac:dyDescent="0.25">
      <c r="A29" s="3">
        <v>40</v>
      </c>
      <c r="B29" s="1" t="s">
        <v>113</v>
      </c>
      <c r="C29" s="3" t="s">
        <v>46</v>
      </c>
      <c r="D29" s="3" t="s">
        <v>89</v>
      </c>
      <c r="J29" s="4"/>
    </row>
    <row r="30" spans="1:10" x14ac:dyDescent="0.25">
      <c r="A30" s="3">
        <v>43</v>
      </c>
      <c r="B30" s="1" t="s">
        <v>113</v>
      </c>
      <c r="C30" s="3" t="s">
        <v>46</v>
      </c>
      <c r="D30" s="3" t="s">
        <v>90</v>
      </c>
      <c r="J30" s="4"/>
    </row>
    <row r="31" spans="1:10" x14ac:dyDescent="0.25">
      <c r="A31" s="3">
        <v>44</v>
      </c>
      <c r="B31" s="1" t="s">
        <v>113</v>
      </c>
      <c r="C31" s="3" t="s">
        <v>46</v>
      </c>
      <c r="D31" s="3" t="s">
        <v>91</v>
      </c>
      <c r="J31" s="4"/>
    </row>
    <row r="32" spans="1:10" x14ac:dyDescent="0.25">
      <c r="A32" s="3">
        <v>45</v>
      </c>
      <c r="B32" s="1" t="s">
        <v>113</v>
      </c>
      <c r="C32" s="3" t="s">
        <v>46</v>
      </c>
      <c r="D32" s="3" t="s">
        <v>92</v>
      </c>
      <c r="J32" s="4"/>
    </row>
    <row r="33" spans="1:10" x14ac:dyDescent="0.25">
      <c r="A33" s="3">
        <v>46</v>
      </c>
      <c r="B33" s="1" t="s">
        <v>113</v>
      </c>
      <c r="C33" s="3" t="s">
        <v>46</v>
      </c>
      <c r="D33" s="3" t="s">
        <v>93</v>
      </c>
      <c r="J33" s="4"/>
    </row>
    <row r="34" spans="1:10" x14ac:dyDescent="0.25">
      <c r="A34" s="3">
        <v>48</v>
      </c>
      <c r="B34" s="1" t="s">
        <v>113</v>
      </c>
      <c r="C34" s="3" t="s">
        <v>46</v>
      </c>
      <c r="D34" s="3" t="s">
        <v>94</v>
      </c>
      <c r="J34" s="4"/>
    </row>
    <row r="35" spans="1:10" x14ac:dyDescent="0.25">
      <c r="A35" s="3">
        <v>50</v>
      </c>
      <c r="B35" s="1" t="s">
        <v>113</v>
      </c>
      <c r="C35" s="3" t="s">
        <v>46</v>
      </c>
      <c r="D35" s="3" t="s">
        <v>109</v>
      </c>
      <c r="J35" s="4"/>
    </row>
    <row r="36" spans="10:10" x14ac:dyDescent="0.25">
      <c r="J36" s="4"/>
    </row>
    <row r="37" spans="10:10" x14ac:dyDescent="0.25">
      <c r="J37" s="4"/>
    </row>
    <row r="38" spans="10:10" x14ac:dyDescent="0.25">
      <c r="J38" s="4"/>
    </row>
    <row r="39" spans="10:10" x14ac:dyDescent="0.25">
      <c r="J39" s="4"/>
    </row>
    <row r="40" spans="10:10" x14ac:dyDescent="0.25">
      <c r="J40" s="4"/>
    </row>
    <row r="41" spans="10:10" x14ac:dyDescent="0.25">
      <c r="J41" s="4"/>
    </row>
    <row r="42" spans="10:10" x14ac:dyDescent="0.25">
      <c r="J42" s="4"/>
    </row>
    <row r="43" spans="10:10" x14ac:dyDescent="0.25">
      <c r="J43" s="4"/>
    </row>
    <row r="44" spans="10:10" x14ac:dyDescent="0.25">
      <c r="J44" s="4"/>
    </row>
    <row r="45" spans="10:10" x14ac:dyDescent="0.25">
      <c r="J45" s="4"/>
    </row>
    <row r="46" spans="10:10" x14ac:dyDescent="0.25">
      <c r="J46" s="4"/>
    </row>
    <row r="47" spans="10:10" x14ac:dyDescent="0.25">
      <c r="J47" s="4"/>
    </row>
    <row r="48" spans="10:10" x14ac:dyDescent="0.25">
      <c r="J48" s="4"/>
    </row>
    <row r="49" spans="10:10" x14ac:dyDescent="0.25">
      <c r="J49" s="4"/>
    </row>
    <row r="50" spans="10:10" x14ac:dyDescent="0.25">
      <c r="J50" s="4"/>
    </row>
    <row r="51" spans="10:10" x14ac:dyDescent="0.25">
      <c r="J51" s="4"/>
    </row>
    <row r="52" spans="10:10" x14ac:dyDescent="0.25">
      <c r="J52" s="4"/>
    </row>
    <row r="53" spans="10:10" x14ac:dyDescent="0.25">
      <c r="J53" s="4"/>
    </row>
    <row r="54" spans="10:10" x14ac:dyDescent="0.25">
      <c r="J54" s="4"/>
    </row>
    <row r="55" spans="10:10" x14ac:dyDescent="0.25">
      <c r="J55" s="4"/>
    </row>
    <row r="56" spans="10:10" x14ac:dyDescent="0.25">
      <c r="J56" s="4"/>
    </row>
    <row r="57" spans="10:10" x14ac:dyDescent="0.25">
      <c r="J57" s="4"/>
    </row>
    <row r="58" spans="10:10" x14ac:dyDescent="0.25">
      <c r="J58" s="4"/>
    </row>
    <row r="59" spans="10:10" x14ac:dyDescent="0.25">
      <c r="J59" s="4"/>
    </row>
    <row r="60" spans="10:10" x14ac:dyDescent="0.25">
      <c r="J60" s="4"/>
    </row>
    <row r="61" spans="10:10" x14ac:dyDescent="0.25">
      <c r="J61" s="4"/>
    </row>
    <row r="62" spans="10:10" x14ac:dyDescent="0.25">
      <c r="J62" s="4"/>
    </row>
    <row r="63" spans="10:10" x14ac:dyDescent="0.25">
      <c r="J63" s="4"/>
    </row>
    <row r="64" spans="10:10" x14ac:dyDescent="0.25">
      <c r="J64" s="4"/>
    </row>
    <row r="65" spans="10:10" x14ac:dyDescent="0.25">
      <c r="J65" s="4"/>
    </row>
    <row r="66" spans="10:10" x14ac:dyDescent="0.25">
      <c r="J66" s="4"/>
    </row>
    <row r="67" spans="10:10" x14ac:dyDescent="0.25">
      <c r="J67" s="4"/>
    </row>
    <row r="68" spans="10:10" x14ac:dyDescent="0.25">
      <c r="J68" s="4"/>
    </row>
    <row r="69" spans="10:10" x14ac:dyDescent="0.25">
      <c r="J69" s="4"/>
    </row>
    <row r="70" spans="10:10" x14ac:dyDescent="0.25">
      <c r="J70" s="4"/>
    </row>
    <row r="71" spans="10:10" x14ac:dyDescent="0.25">
      <c r="J71" s="4"/>
    </row>
    <row r="72" spans="10:10" x14ac:dyDescent="0.25">
      <c r="J72" s="4"/>
    </row>
    <row r="73" spans="10:10" x14ac:dyDescent="0.25">
      <c r="J73" s="4"/>
    </row>
    <row r="74" spans="10:10" x14ac:dyDescent="0.25">
      <c r="J74" s="4"/>
    </row>
    <row r="75" spans="10:10" x14ac:dyDescent="0.25">
      <c r="J75" s="4"/>
    </row>
    <row r="76" spans="10:10" x14ac:dyDescent="0.25">
      <c r="J76" s="4"/>
    </row>
    <row r="77" spans="10:10" x14ac:dyDescent="0.25">
      <c r="J77" s="4"/>
    </row>
    <row r="78" spans="10:10" x14ac:dyDescent="0.25">
      <c r="J78" s="4"/>
    </row>
    <row r="79" spans="10:10" x14ac:dyDescent="0.25">
      <c r="J79" s="4"/>
    </row>
    <row r="80" spans="10:10" x14ac:dyDescent="0.25">
      <c r="J80" s="4"/>
    </row>
    <row r="81" spans="10:10" x14ac:dyDescent="0.25">
      <c r="J81" s="4"/>
    </row>
    <row r="82" spans="10:10" x14ac:dyDescent="0.25">
      <c r="J82" s="4"/>
    </row>
    <row r="83" spans="10:10" x14ac:dyDescent="0.25">
      <c r="J83" s="4"/>
    </row>
    <row r="84" spans="10:10" x14ac:dyDescent="0.25">
      <c r="J84" s="4"/>
    </row>
    <row r="85" spans="10:10" x14ac:dyDescent="0.25">
      <c r="J85" s="4"/>
    </row>
    <row r="86" spans="10:10" x14ac:dyDescent="0.25">
      <c r="J86" s="4"/>
    </row>
    <row r="87" spans="10:10" x14ac:dyDescent="0.25">
      <c r="J87" s="4"/>
    </row>
    <row r="88" spans="10:10" x14ac:dyDescent="0.25">
      <c r="J88" s="4"/>
    </row>
    <row r="89" spans="10:10" x14ac:dyDescent="0.25">
      <c r="J89" s="4"/>
    </row>
    <row r="90" spans="10:10" x14ac:dyDescent="0.25">
      <c r="J90" s="4"/>
    </row>
    <row r="91" spans="10:10" x14ac:dyDescent="0.25">
      <c r="J91" s="4"/>
    </row>
    <row r="92" spans="10:10" x14ac:dyDescent="0.25">
      <c r="J92" s="4"/>
    </row>
    <row r="93" spans="10:10" x14ac:dyDescent="0.25">
      <c r="J93" s="4"/>
    </row>
    <row r="94" spans="10:10" x14ac:dyDescent="0.25">
      <c r="J94" s="4"/>
    </row>
    <row r="95" spans="10:10" x14ac:dyDescent="0.25">
      <c r="J95" s="4"/>
    </row>
    <row r="96" spans="10:10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  <row r="103" spans="10:10" x14ac:dyDescent="0.25">
      <c r="J103" s="4"/>
    </row>
    <row r="104" spans="10:10" x14ac:dyDescent="0.25">
      <c r="J104" s="4"/>
    </row>
    <row r="105" spans="10:10" x14ac:dyDescent="0.25">
      <c r="J105" s="4"/>
    </row>
    <row r="106" spans="10:10" x14ac:dyDescent="0.25">
      <c r="J106" s="4"/>
    </row>
    <row r="107" spans="10:10" x14ac:dyDescent="0.25">
      <c r="J107" s="4"/>
    </row>
    <row r="108" spans="10:10" x14ac:dyDescent="0.25">
      <c r="J108" s="4"/>
    </row>
    <row r="109" spans="10:10" x14ac:dyDescent="0.25">
      <c r="J109" s="4"/>
    </row>
    <row r="110" spans="10:10" x14ac:dyDescent="0.25">
      <c r="J110" s="4"/>
    </row>
    <row r="111" spans="10:10" x14ac:dyDescent="0.25">
      <c r="J111" s="4"/>
    </row>
    <row r="112" spans="10:10" x14ac:dyDescent="0.25">
      <c r="J112" s="4"/>
    </row>
    <row r="113" spans="10:10" x14ac:dyDescent="0.25">
      <c r="J113" s="4"/>
    </row>
    <row r="114" spans="10:10" x14ac:dyDescent="0.25">
      <c r="J114" s="4"/>
    </row>
    <row r="115" spans="10:10" x14ac:dyDescent="0.25">
      <c r="J115" s="4"/>
    </row>
    <row r="116" spans="10:10" x14ac:dyDescent="0.25">
      <c r="J116" s="4"/>
    </row>
    <row r="117" spans="10:10" x14ac:dyDescent="0.25">
      <c r="J117" s="4"/>
    </row>
    <row r="118" spans="10:10" x14ac:dyDescent="0.25">
      <c r="J118" s="4"/>
    </row>
    <row r="119" spans="10:10" x14ac:dyDescent="0.25">
      <c r="J119" s="4"/>
    </row>
    <row r="120" spans="10:10" x14ac:dyDescent="0.25">
      <c r="J120" s="4"/>
    </row>
    <row r="121" spans="10:10" x14ac:dyDescent="0.25">
      <c r="J121" s="4"/>
    </row>
    <row r="122" spans="10:10" x14ac:dyDescent="0.25">
      <c r="J122" s="4"/>
    </row>
    <row r="123" spans="10:10" x14ac:dyDescent="0.25">
      <c r="J123" s="4"/>
    </row>
    <row r="124" spans="10:10" x14ac:dyDescent="0.25">
      <c r="J124" s="4"/>
    </row>
    <row r="125" spans="10:10" x14ac:dyDescent="0.25">
      <c r="J125" s="4"/>
    </row>
    <row r="126" spans="10:10" x14ac:dyDescent="0.25">
      <c r="J126" s="4"/>
    </row>
    <row r="127" spans="10:10" x14ac:dyDescent="0.25">
      <c r="J127" s="4"/>
    </row>
    <row r="128" spans="10:10" x14ac:dyDescent="0.25">
      <c r="J128" s="4"/>
    </row>
    <row r="129" spans="10:10" x14ac:dyDescent="0.25">
      <c r="J129" s="4"/>
    </row>
    <row r="130" spans="10:10" x14ac:dyDescent="0.25">
      <c r="J130" s="4"/>
    </row>
    <row r="131" spans="10:10" x14ac:dyDescent="0.25">
      <c r="J131" s="4"/>
    </row>
    <row r="132" spans="10:10" x14ac:dyDescent="0.25">
      <c r="J132" s="4"/>
    </row>
    <row r="133" spans="10:10" x14ac:dyDescent="0.25">
      <c r="J133" s="4"/>
    </row>
    <row r="134" spans="10:10" x14ac:dyDescent="0.25">
      <c r="J134" s="4"/>
    </row>
    <row r="135" spans="10:10" x14ac:dyDescent="0.25">
      <c r="J135" s="4"/>
    </row>
    <row r="136" spans="10:10" x14ac:dyDescent="0.25">
      <c r="J136" s="4"/>
    </row>
    <row r="137" spans="10:10" x14ac:dyDescent="0.25">
      <c r="J137" s="4"/>
    </row>
    <row r="138" spans="10:10" x14ac:dyDescent="0.25">
      <c r="J138" s="4"/>
    </row>
    <row r="139" spans="10:10" x14ac:dyDescent="0.25">
      <c r="J139" s="4"/>
    </row>
    <row r="140" spans="10:10" x14ac:dyDescent="0.25">
      <c r="J140" s="4"/>
    </row>
    <row r="141" spans="10:10" x14ac:dyDescent="0.25">
      <c r="J141" s="4"/>
    </row>
    <row r="142" spans="10:10" x14ac:dyDescent="0.25">
      <c r="J142" s="4"/>
    </row>
    <row r="143" spans="10:10" x14ac:dyDescent="0.25">
      <c r="J143" s="4"/>
    </row>
    <row r="144" spans="10:10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  <row r="166" spans="10:10" x14ac:dyDescent="0.25">
      <c r="J166" s="4"/>
    </row>
    <row r="167" spans="10:10" x14ac:dyDescent="0.25">
      <c r="J167" s="4"/>
    </row>
    <row r="168" spans="10:10" x14ac:dyDescent="0.25">
      <c r="J168" s="4"/>
    </row>
    <row r="169" spans="10:10" x14ac:dyDescent="0.25">
      <c r="J169" s="4"/>
    </row>
    <row r="170" spans="10:10" x14ac:dyDescent="0.25">
      <c r="J170" s="4"/>
    </row>
    <row r="171" spans="10:10" x14ac:dyDescent="0.25">
      <c r="J171" s="4"/>
    </row>
    <row r="172" spans="10:10" x14ac:dyDescent="0.25">
      <c r="J172" s="4"/>
    </row>
    <row r="173" spans="10:10" x14ac:dyDescent="0.25">
      <c r="J173" s="4"/>
    </row>
    <row r="174" spans="10:10" x14ac:dyDescent="0.25">
      <c r="J174" s="4"/>
    </row>
    <row r="175" spans="10:10" x14ac:dyDescent="0.25">
      <c r="J175" s="4"/>
    </row>
    <row r="176" spans="10:10" x14ac:dyDescent="0.25">
      <c r="J176" s="4"/>
    </row>
    <row r="177" spans="10:10" x14ac:dyDescent="0.25">
      <c r="J177" s="4"/>
    </row>
    <row r="178" spans="10:10" x14ac:dyDescent="0.25">
      <c r="J178" s="4"/>
    </row>
    <row r="179" spans="10:10" x14ac:dyDescent="0.25">
      <c r="J179" s="4"/>
    </row>
    <row r="180" spans="10:10" x14ac:dyDescent="0.25">
      <c r="J180" s="4"/>
    </row>
    <row r="181" spans="10:10" x14ac:dyDescent="0.25">
      <c r="J181" s="4"/>
    </row>
    <row r="182" spans="10:10" x14ac:dyDescent="0.25">
      <c r="J182" s="4"/>
    </row>
    <row r="183" spans="10:10" x14ac:dyDescent="0.25">
      <c r="J183" s="4"/>
    </row>
    <row r="184" spans="10:10" x14ac:dyDescent="0.25">
      <c r="J184" s="4"/>
    </row>
    <row r="185" spans="10:10" x14ac:dyDescent="0.25">
      <c r="J185" s="4"/>
    </row>
    <row r="186" spans="10:10" x14ac:dyDescent="0.25">
      <c r="J186" s="4"/>
    </row>
    <row r="187" spans="10:10" x14ac:dyDescent="0.25">
      <c r="J187" s="4"/>
    </row>
    <row r="188" spans="10:10" x14ac:dyDescent="0.25">
      <c r="J188" s="4"/>
    </row>
    <row r="189" spans="10:10" x14ac:dyDescent="0.25">
      <c r="J189" s="4"/>
    </row>
    <row r="190" spans="10:10" x14ac:dyDescent="0.25">
      <c r="J190" s="4"/>
    </row>
    <row r="191" spans="10:10" x14ac:dyDescent="0.25">
      <c r="J191" s="4"/>
    </row>
    <row r="192" spans="10:10" x14ac:dyDescent="0.25">
      <c r="J192" s="4"/>
    </row>
    <row r="193" spans="10:10" x14ac:dyDescent="0.25">
      <c r="J193" s="4"/>
    </row>
    <row r="194" spans="10:10" x14ac:dyDescent="0.25">
      <c r="J194" s="4"/>
    </row>
    <row r="195" spans="10:10" x14ac:dyDescent="0.25">
      <c r="J195" s="4"/>
    </row>
    <row r="196" spans="10:10" x14ac:dyDescent="0.25">
      <c r="J196" s="4"/>
    </row>
    <row r="197" spans="10:10" x14ac:dyDescent="0.25">
      <c r="J197" s="4"/>
    </row>
    <row r="198" spans="10:10" x14ac:dyDescent="0.25">
      <c r="J198" s="4"/>
    </row>
    <row r="199" spans="10:10" x14ac:dyDescent="0.25">
      <c r="J199" s="4"/>
    </row>
    <row r="200" spans="10:10" x14ac:dyDescent="0.25">
      <c r="J200" s="4"/>
    </row>
    <row r="201" spans="10:10" x14ac:dyDescent="0.25">
      <c r="J201" s="4"/>
    </row>
    <row r="202" spans="10:10" x14ac:dyDescent="0.25">
      <c r="J202" s="4"/>
    </row>
    <row r="203" spans="10:10" x14ac:dyDescent="0.25">
      <c r="J203" s="4"/>
    </row>
    <row r="204" spans="10:10" x14ac:dyDescent="0.25">
      <c r="J204" s="4"/>
    </row>
    <row r="205" spans="10:10" x14ac:dyDescent="0.25">
      <c r="J205" s="4"/>
    </row>
    <row r="206" spans="10:10" x14ac:dyDescent="0.25">
      <c r="J206" s="4"/>
    </row>
    <row r="207" spans="10:10" x14ac:dyDescent="0.25">
      <c r="J207" s="4"/>
    </row>
    <row r="208" spans="10:10" x14ac:dyDescent="0.25">
      <c r="J208" s="4"/>
    </row>
    <row r="209" spans="10:10" x14ac:dyDescent="0.25">
      <c r="J209" s="4"/>
    </row>
    <row r="210" spans="10:10" x14ac:dyDescent="0.25">
      <c r="J210" s="4"/>
    </row>
    <row r="211" spans="10:10" x14ac:dyDescent="0.25">
      <c r="J211" s="4"/>
    </row>
    <row r="212" spans="10:10" x14ac:dyDescent="0.25">
      <c r="J212" s="4"/>
    </row>
    <row r="213" spans="10:10" x14ac:dyDescent="0.25">
      <c r="J213" s="4"/>
    </row>
    <row r="214" spans="10:10" x14ac:dyDescent="0.25">
      <c r="J214" s="4"/>
    </row>
    <row r="215" spans="10:10" x14ac:dyDescent="0.25">
      <c r="J215" s="4"/>
    </row>
    <row r="216" spans="10:10" x14ac:dyDescent="0.25">
      <c r="J216" s="4"/>
    </row>
    <row r="217" spans="10:10" x14ac:dyDescent="0.25">
      <c r="J217" s="4"/>
    </row>
    <row r="218" spans="10:10" x14ac:dyDescent="0.25">
      <c r="J218" s="4"/>
    </row>
    <row r="219" spans="10:10" x14ac:dyDescent="0.25">
      <c r="J219" s="4"/>
    </row>
    <row r="220" spans="10:10" x14ac:dyDescent="0.25">
      <c r="J220" s="4"/>
    </row>
    <row r="221" spans="10:10" x14ac:dyDescent="0.25">
      <c r="J221" s="4"/>
    </row>
    <row r="222" spans="10:10" x14ac:dyDescent="0.25">
      <c r="J222" s="4"/>
    </row>
    <row r="223" spans="10:10" x14ac:dyDescent="0.25">
      <c r="J223" s="4"/>
    </row>
    <row r="224" spans="10:10" x14ac:dyDescent="0.25">
      <c r="J224" s="4"/>
    </row>
    <row r="225" spans="10:10" x14ac:dyDescent="0.25">
      <c r="J225" s="4"/>
    </row>
    <row r="226" spans="10:10" x14ac:dyDescent="0.25">
      <c r="J226" s="4"/>
    </row>
    <row r="227" spans="10:10" x14ac:dyDescent="0.25">
      <c r="J227" s="4"/>
    </row>
    <row r="228" spans="10:10" x14ac:dyDescent="0.25">
      <c r="J228" s="4"/>
    </row>
    <row r="229" spans="10:10" x14ac:dyDescent="0.25">
      <c r="J229" s="4"/>
    </row>
    <row r="230" spans="10:10" x14ac:dyDescent="0.25">
      <c r="J230" s="4"/>
    </row>
    <row r="231" spans="10:10" x14ac:dyDescent="0.25">
      <c r="J231" s="4"/>
    </row>
    <row r="232" spans="10:10" x14ac:dyDescent="0.25">
      <c r="J232" s="4"/>
    </row>
    <row r="233" spans="10:10" x14ac:dyDescent="0.25">
      <c r="J233" s="4"/>
    </row>
    <row r="234" spans="10:10" x14ac:dyDescent="0.25">
      <c r="J234" s="4"/>
    </row>
    <row r="235" spans="10:10" x14ac:dyDescent="0.25">
      <c r="J235" s="4"/>
    </row>
    <row r="236" spans="10:10" x14ac:dyDescent="0.25">
      <c r="J236" s="4"/>
    </row>
    <row r="237" spans="10:10" x14ac:dyDescent="0.25">
      <c r="J237" s="4"/>
    </row>
    <row r="238" spans="10:10" x14ac:dyDescent="0.25">
      <c r="J238" s="4"/>
    </row>
    <row r="239" spans="10:10" x14ac:dyDescent="0.25">
      <c r="J239" s="4"/>
    </row>
    <row r="240" spans="10:10" x14ac:dyDescent="0.25">
      <c r="J240" s="4"/>
    </row>
    <row r="241" spans="10:10" x14ac:dyDescent="0.25">
      <c r="J241" s="4"/>
    </row>
    <row r="242" spans="10:10" x14ac:dyDescent="0.25">
      <c r="J242" s="4"/>
    </row>
    <row r="243" spans="10:10" x14ac:dyDescent="0.25">
      <c r="J243" s="4"/>
    </row>
    <row r="244" spans="10:10" x14ac:dyDescent="0.25">
      <c r="J244" s="4"/>
    </row>
    <row r="245" spans="10:10" x14ac:dyDescent="0.25">
      <c r="J245" s="4"/>
    </row>
    <row r="246" spans="10:10" x14ac:dyDescent="0.25">
      <c r="J246" s="4"/>
    </row>
    <row r="247" spans="10:10" x14ac:dyDescent="0.25">
      <c r="J247" s="4"/>
    </row>
    <row r="248" spans="10:10" x14ac:dyDescent="0.25">
      <c r="J248" s="4"/>
    </row>
    <row r="249" spans="10:10" x14ac:dyDescent="0.25">
      <c r="J249" s="4"/>
    </row>
    <row r="250" spans="10:10" x14ac:dyDescent="0.25">
      <c r="J250" s="4"/>
    </row>
    <row r="251" spans="10:10" x14ac:dyDescent="0.25">
      <c r="J251" s="4"/>
    </row>
    <row r="252" spans="10:10" x14ac:dyDescent="0.25">
      <c r="J252" s="4"/>
    </row>
    <row r="253" spans="10:10" x14ac:dyDescent="0.25">
      <c r="J253" s="4"/>
    </row>
    <row r="254" spans="10:10" x14ac:dyDescent="0.25">
      <c r="J254" s="4"/>
    </row>
    <row r="255" spans="10:10" x14ac:dyDescent="0.25">
      <c r="J255" s="4"/>
    </row>
    <row r="256" spans="10:10" x14ac:dyDescent="0.25">
      <c r="J256" s="4"/>
    </row>
    <row r="257" spans="10:10" x14ac:dyDescent="0.25">
      <c r="J257" s="4"/>
    </row>
    <row r="258" spans="10:10" x14ac:dyDescent="0.25">
      <c r="J258" s="4"/>
    </row>
    <row r="259" spans="10:10" x14ac:dyDescent="0.25">
      <c r="J259" s="4"/>
    </row>
    <row r="260" spans="10:10" x14ac:dyDescent="0.25">
      <c r="J260" s="4"/>
    </row>
    <row r="261" spans="10:10" x14ac:dyDescent="0.25">
      <c r="J261" s="4"/>
    </row>
    <row r="262" spans="10:10" x14ac:dyDescent="0.25">
      <c r="J262" s="4"/>
    </row>
    <row r="263" spans="10:10" x14ac:dyDescent="0.25">
      <c r="J263" s="4"/>
    </row>
    <row r="264" spans="10:10" x14ac:dyDescent="0.25">
      <c r="J264" s="4"/>
    </row>
    <row r="265" spans="10:10" x14ac:dyDescent="0.25">
      <c r="J265" s="4"/>
    </row>
    <row r="266" spans="10:10" x14ac:dyDescent="0.25">
      <c r="J266" s="4"/>
    </row>
    <row r="267" spans="10:10" x14ac:dyDescent="0.25">
      <c r="J267" s="4"/>
    </row>
    <row r="268" spans="10:10" x14ac:dyDescent="0.25">
      <c r="J268" s="4"/>
    </row>
    <row r="269" spans="10:10" x14ac:dyDescent="0.25">
      <c r="J269" s="4"/>
    </row>
    <row r="270" spans="10:10" x14ac:dyDescent="0.25">
      <c r="J270" s="4"/>
    </row>
    <row r="271" spans="10:10" x14ac:dyDescent="0.25">
      <c r="J271" s="4"/>
    </row>
    <row r="272" spans="10:10" x14ac:dyDescent="0.25">
      <c r="J272" s="4"/>
    </row>
    <row r="273" spans="10:10" x14ac:dyDescent="0.25">
      <c r="J273" s="4"/>
    </row>
    <row r="274" spans="10:10" x14ac:dyDescent="0.25">
      <c r="J274" s="4"/>
    </row>
    <row r="275" spans="10:10" x14ac:dyDescent="0.25">
      <c r="J275" s="4"/>
    </row>
    <row r="276" spans="10:10" x14ac:dyDescent="0.25">
      <c r="J276" s="4"/>
    </row>
    <row r="277" spans="10:10" x14ac:dyDescent="0.25">
      <c r="J277" s="4"/>
    </row>
    <row r="278" spans="10:10" x14ac:dyDescent="0.25">
      <c r="J278" s="4"/>
    </row>
    <row r="279" spans="10:10" x14ac:dyDescent="0.25">
      <c r="J279" s="4"/>
    </row>
    <row r="280" spans="10:10" x14ac:dyDescent="0.25">
      <c r="J280" s="4"/>
    </row>
    <row r="281" spans="10:10" x14ac:dyDescent="0.25">
      <c r="J281" s="4"/>
    </row>
    <row r="282" spans="10:10" x14ac:dyDescent="0.25">
      <c r="J282" s="4"/>
    </row>
    <row r="283" spans="10:10" x14ac:dyDescent="0.25">
      <c r="J283" s="4"/>
    </row>
    <row r="284" spans="10:10" x14ac:dyDescent="0.25">
      <c r="J284" s="4"/>
    </row>
    <row r="285" spans="10:10" x14ac:dyDescent="0.25">
      <c r="J285" s="4"/>
    </row>
    <row r="286" spans="10:10" x14ac:dyDescent="0.25">
      <c r="J286" s="4"/>
    </row>
    <row r="287" spans="10:10" x14ac:dyDescent="0.25">
      <c r="J287" s="4"/>
    </row>
    <row r="288" spans="10:10" x14ac:dyDescent="0.25">
      <c r="J288" s="4"/>
    </row>
    <row r="289" spans="10:10" x14ac:dyDescent="0.25">
      <c r="J289" s="4"/>
    </row>
    <row r="290" spans="10:10" x14ac:dyDescent="0.25">
      <c r="J290" s="4"/>
    </row>
    <row r="291" spans="10:10" x14ac:dyDescent="0.25">
      <c r="J291" s="4"/>
    </row>
    <row r="292" spans="10:10" x14ac:dyDescent="0.25">
      <c r="J292" s="4"/>
    </row>
    <row r="293" spans="10:10" x14ac:dyDescent="0.25">
      <c r="J293" s="4"/>
    </row>
    <row r="294" spans="10:10" x14ac:dyDescent="0.25">
      <c r="J294" s="4"/>
    </row>
    <row r="295" spans="10:10" x14ac:dyDescent="0.25">
      <c r="J295" s="4"/>
    </row>
    <row r="296" spans="10:10" x14ac:dyDescent="0.25">
      <c r="J296" s="4"/>
    </row>
    <row r="297" spans="10:10" x14ac:dyDescent="0.25">
      <c r="J297" s="4"/>
    </row>
    <row r="298" spans="10:10" x14ac:dyDescent="0.25">
      <c r="J298" s="4"/>
    </row>
    <row r="299" spans="10:10" x14ac:dyDescent="0.25">
      <c r="J299" s="4"/>
    </row>
    <row r="300" spans="10:10" x14ac:dyDescent="0.25">
      <c r="J300" s="4"/>
    </row>
    <row r="301" spans="10:10" x14ac:dyDescent="0.25">
      <c r="J301" s="4"/>
    </row>
    <row r="302" spans="10:10" x14ac:dyDescent="0.25">
      <c r="J302" s="4"/>
    </row>
    <row r="303" spans="10:10" x14ac:dyDescent="0.25">
      <c r="J303" s="4"/>
    </row>
    <row r="304" spans="10:10" x14ac:dyDescent="0.25">
      <c r="J304" s="4"/>
    </row>
    <row r="305" spans="10:10" x14ac:dyDescent="0.25">
      <c r="J305" s="4"/>
    </row>
    <row r="306" spans="10:10" x14ac:dyDescent="0.25">
      <c r="J306" s="4"/>
    </row>
    <row r="307" spans="10:10" x14ac:dyDescent="0.25">
      <c r="J307" s="4"/>
    </row>
    <row r="308" spans="10:10" x14ac:dyDescent="0.25">
      <c r="J308" s="4"/>
    </row>
    <row r="309" spans="10:10" x14ac:dyDescent="0.25">
      <c r="J309" s="4"/>
    </row>
    <row r="310" spans="10:10" x14ac:dyDescent="0.25">
      <c r="J310" s="4"/>
    </row>
    <row r="311" spans="10:10" x14ac:dyDescent="0.25">
      <c r="J311" s="4"/>
    </row>
    <row r="312" spans="10:10" x14ac:dyDescent="0.25">
      <c r="J312" s="4"/>
    </row>
    <row r="313" spans="10:10" x14ac:dyDescent="0.25">
      <c r="J313" s="4"/>
    </row>
    <row r="314" spans="10:10" x14ac:dyDescent="0.25">
      <c r="J314" s="4"/>
    </row>
    <row r="315" spans="10:10" x14ac:dyDescent="0.25">
      <c r="J315" s="4"/>
    </row>
    <row r="316" spans="10:10" x14ac:dyDescent="0.25">
      <c r="J316" s="4"/>
    </row>
    <row r="317" spans="10:10" x14ac:dyDescent="0.25">
      <c r="J317" s="4"/>
    </row>
    <row r="318" spans="10:10" x14ac:dyDescent="0.25">
      <c r="J318" s="4"/>
    </row>
    <row r="319" spans="10:10" x14ac:dyDescent="0.25">
      <c r="J319" s="4"/>
    </row>
    <row r="320" spans="10:10" x14ac:dyDescent="0.25">
      <c r="J320" s="4"/>
    </row>
    <row r="321" spans="10:10" x14ac:dyDescent="0.25">
      <c r="J321" s="4"/>
    </row>
    <row r="322" spans="10:10" x14ac:dyDescent="0.25">
      <c r="J322" s="4"/>
    </row>
    <row r="323" spans="10:10" x14ac:dyDescent="0.25">
      <c r="J323" s="4"/>
    </row>
    <row r="324" spans="10:10" x14ac:dyDescent="0.25">
      <c r="J324" s="4"/>
    </row>
    <row r="325" spans="10:10" x14ac:dyDescent="0.25">
      <c r="J325" s="4"/>
    </row>
    <row r="326" spans="10:10" x14ac:dyDescent="0.25">
      <c r="J326" s="4"/>
    </row>
    <row r="327" spans="10:10" x14ac:dyDescent="0.25">
      <c r="J327" s="4"/>
    </row>
    <row r="328" spans="10:10" x14ac:dyDescent="0.25">
      <c r="J328" s="4"/>
    </row>
    <row r="329" spans="10:10" x14ac:dyDescent="0.25">
      <c r="J329" s="4"/>
    </row>
    <row r="330" spans="10:10" x14ac:dyDescent="0.25">
      <c r="J330" s="4"/>
    </row>
    <row r="331" spans="10:10" x14ac:dyDescent="0.25">
      <c r="J331" s="4"/>
    </row>
    <row r="332" spans="10:10" x14ac:dyDescent="0.25">
      <c r="J332" s="4"/>
    </row>
    <row r="333" spans="10:10" x14ac:dyDescent="0.25">
      <c r="J333" s="4"/>
    </row>
    <row r="334" spans="10:10" x14ac:dyDescent="0.25">
      <c r="J334" s="4"/>
    </row>
    <row r="335" spans="10:10" x14ac:dyDescent="0.25">
      <c r="J335" s="4"/>
    </row>
    <row r="336" spans="10:10" x14ac:dyDescent="0.25">
      <c r="J336" s="4"/>
    </row>
    <row r="337" spans="10:10" x14ac:dyDescent="0.25">
      <c r="J337" s="4"/>
    </row>
    <row r="338" spans="10:10" x14ac:dyDescent="0.25">
      <c r="J338" s="4"/>
    </row>
    <row r="339" spans="10:10" x14ac:dyDescent="0.25">
      <c r="J339" s="4"/>
    </row>
    <row r="340" spans="10:10" x14ac:dyDescent="0.25">
      <c r="J340" s="4"/>
    </row>
    <row r="341" spans="10:10" x14ac:dyDescent="0.25">
      <c r="J341" s="4"/>
    </row>
    <row r="342" spans="10:10" x14ac:dyDescent="0.25">
      <c r="J342" s="4"/>
    </row>
    <row r="343" spans="10:10" x14ac:dyDescent="0.25">
      <c r="J343" s="4"/>
    </row>
    <row r="344" spans="10:10" x14ac:dyDescent="0.25">
      <c r="J344" s="4"/>
    </row>
    <row r="345" spans="10:10" x14ac:dyDescent="0.25">
      <c r="J345" s="4"/>
    </row>
    <row r="346" spans="10:10" x14ac:dyDescent="0.25">
      <c r="J346" s="4"/>
    </row>
    <row r="347" spans="10:10" x14ac:dyDescent="0.25">
      <c r="J347" s="4"/>
    </row>
    <row r="348" spans="10:10" x14ac:dyDescent="0.25">
      <c r="J348" s="4"/>
    </row>
    <row r="349" spans="10:10" x14ac:dyDescent="0.25">
      <c r="J349" s="4"/>
    </row>
    <row r="350" spans="10:10" x14ac:dyDescent="0.25">
      <c r="J350" s="4"/>
    </row>
    <row r="351" spans="10:10" x14ac:dyDescent="0.25">
      <c r="J351" s="4"/>
    </row>
    <row r="352" spans="10:10" x14ac:dyDescent="0.25">
      <c r="J352" s="4"/>
    </row>
    <row r="353" spans="10:10" x14ac:dyDescent="0.25">
      <c r="J353" s="4"/>
    </row>
    <row r="354" spans="10:10" x14ac:dyDescent="0.25">
      <c r="J354" s="4"/>
    </row>
    <row r="355" spans="10:10" x14ac:dyDescent="0.25">
      <c r="J355" s="4"/>
    </row>
    <row r="356" spans="10:10" x14ac:dyDescent="0.25">
      <c r="J356" s="4"/>
    </row>
    <row r="357" spans="10:10" x14ac:dyDescent="0.25">
      <c r="J357" s="4"/>
    </row>
    <row r="358" spans="10:10" x14ac:dyDescent="0.25">
      <c r="J358" s="4"/>
    </row>
    <row r="359" spans="10:10" x14ac:dyDescent="0.25">
      <c r="J359" s="4"/>
    </row>
    <row r="360" spans="10:10" x14ac:dyDescent="0.25">
      <c r="J360" s="4"/>
    </row>
    <row r="361" spans="10:10" x14ac:dyDescent="0.25">
      <c r="J361" s="4"/>
    </row>
    <row r="362" spans="10:10" x14ac:dyDescent="0.25">
      <c r="J362" s="4"/>
    </row>
    <row r="363" spans="10:10" x14ac:dyDescent="0.25">
      <c r="J363" s="4"/>
    </row>
    <row r="364" spans="10:10" x14ac:dyDescent="0.25">
      <c r="J364" s="4"/>
    </row>
    <row r="365" spans="10:10" x14ac:dyDescent="0.25">
      <c r="J365" s="4"/>
    </row>
    <row r="366" spans="10:10" x14ac:dyDescent="0.25">
      <c r="J366" s="4"/>
    </row>
    <row r="367" spans="10:10" x14ac:dyDescent="0.25">
      <c r="J367" s="4"/>
    </row>
    <row r="368" spans="10:10" x14ac:dyDescent="0.25">
      <c r="J368" s="4"/>
    </row>
    <row r="369" spans="10:10" x14ac:dyDescent="0.25">
      <c r="J369" s="4"/>
    </row>
    <row r="370" spans="10:10" x14ac:dyDescent="0.25">
      <c r="J370" s="4"/>
    </row>
    <row r="371" spans="10:10" x14ac:dyDescent="0.25">
      <c r="J371" s="4"/>
    </row>
    <row r="372" spans="10:10" x14ac:dyDescent="0.25">
      <c r="J372" s="4"/>
    </row>
    <row r="373" spans="10:10" x14ac:dyDescent="0.25">
      <c r="J373" s="4"/>
    </row>
    <row r="374" spans="10:10" x14ac:dyDescent="0.25">
      <c r="J374" s="4"/>
    </row>
    <row r="375" spans="10:10" x14ac:dyDescent="0.25">
      <c r="J375" s="4"/>
    </row>
    <row r="376" spans="10:10" x14ac:dyDescent="0.25">
      <c r="J376" s="4"/>
    </row>
    <row r="377" spans="10:10" x14ac:dyDescent="0.25">
      <c r="J377" s="4"/>
    </row>
    <row r="378" spans="10:10" x14ac:dyDescent="0.25">
      <c r="J378" s="4"/>
    </row>
    <row r="379" spans="10:10" x14ac:dyDescent="0.25">
      <c r="J379" s="4"/>
    </row>
    <row r="380" spans="10:10" x14ac:dyDescent="0.25">
      <c r="J380" s="4"/>
    </row>
    <row r="381" spans="10:10" x14ac:dyDescent="0.25">
      <c r="J381" s="4"/>
    </row>
    <row r="382" spans="10:10" x14ac:dyDescent="0.25">
      <c r="J382" s="4"/>
    </row>
    <row r="383" spans="10:10" x14ac:dyDescent="0.25">
      <c r="J383" s="4"/>
    </row>
    <row r="384" spans="10:10" x14ac:dyDescent="0.25">
      <c r="J384" s="4"/>
    </row>
    <row r="385" spans="10:10" x14ac:dyDescent="0.25">
      <c r="J385" s="4"/>
    </row>
    <row r="386" spans="10:10" x14ac:dyDescent="0.25">
      <c r="J386" s="4"/>
    </row>
    <row r="387" spans="10:10" x14ac:dyDescent="0.25">
      <c r="J387" s="4"/>
    </row>
    <row r="388" spans="10:10" x14ac:dyDescent="0.25">
      <c r="J388" s="4"/>
    </row>
    <row r="389" spans="10:10" x14ac:dyDescent="0.25">
      <c r="J389" s="4"/>
    </row>
    <row r="390" spans="10:10" x14ac:dyDescent="0.25">
      <c r="J390" s="4"/>
    </row>
    <row r="391" spans="10:10" x14ac:dyDescent="0.25">
      <c r="J391" s="4"/>
    </row>
    <row r="392" spans="10:10" x14ac:dyDescent="0.25">
      <c r="J392" s="4"/>
    </row>
    <row r="393" spans="10:10" x14ac:dyDescent="0.25">
      <c r="J393" s="4"/>
    </row>
    <row r="394" spans="10:10" x14ac:dyDescent="0.25">
      <c r="J394" s="4"/>
    </row>
    <row r="395" spans="10:10" x14ac:dyDescent="0.25">
      <c r="J395" s="4"/>
    </row>
    <row r="396" spans="10:10" x14ac:dyDescent="0.25">
      <c r="J396" s="4"/>
    </row>
    <row r="397" spans="10:10" x14ac:dyDescent="0.25">
      <c r="J397" s="4"/>
    </row>
    <row r="398" spans="10:10" x14ac:dyDescent="0.25">
      <c r="J398" s="4"/>
    </row>
    <row r="399" spans="10:10" x14ac:dyDescent="0.25">
      <c r="J399" s="4"/>
    </row>
    <row r="400" spans="10:10" x14ac:dyDescent="0.25">
      <c r="J400" s="4"/>
    </row>
    <row r="401" spans="10:10" x14ac:dyDescent="0.25">
      <c r="J401" s="4"/>
    </row>
    <row r="402" spans="10:10" x14ac:dyDescent="0.25">
      <c r="J402" s="4"/>
    </row>
    <row r="403" spans="10:10" x14ac:dyDescent="0.25">
      <c r="J403" s="4"/>
    </row>
    <row r="404" spans="10:10" x14ac:dyDescent="0.25">
      <c r="J404" s="4"/>
    </row>
    <row r="405" spans="10:10" x14ac:dyDescent="0.25">
      <c r="J405" s="4"/>
    </row>
    <row r="406" spans="10:10" x14ac:dyDescent="0.25">
      <c r="J406" s="4"/>
    </row>
    <row r="407" spans="10:10" x14ac:dyDescent="0.25">
      <c r="J407" s="4"/>
    </row>
    <row r="408" spans="10:10" x14ac:dyDescent="0.25">
      <c r="J408" s="4"/>
    </row>
    <row r="409" spans="10:10" x14ac:dyDescent="0.25">
      <c r="J409" s="4"/>
    </row>
    <row r="410" spans="10:10" x14ac:dyDescent="0.25">
      <c r="J410" s="4"/>
    </row>
    <row r="411" spans="10:10" x14ac:dyDescent="0.25">
      <c r="J411" s="4"/>
    </row>
    <row r="412" spans="10:10" x14ac:dyDescent="0.25">
      <c r="J412" s="4"/>
    </row>
    <row r="413" spans="10:10" x14ac:dyDescent="0.25">
      <c r="J413" s="4"/>
    </row>
    <row r="414" spans="10:10" x14ac:dyDescent="0.25">
      <c r="J414" s="4"/>
    </row>
    <row r="415" spans="10:10" x14ac:dyDescent="0.25">
      <c r="J415" s="4"/>
    </row>
    <row r="416" spans="10:10" x14ac:dyDescent="0.25">
      <c r="J416" s="4"/>
    </row>
    <row r="417" spans="10:10" x14ac:dyDescent="0.25">
      <c r="J417" s="4"/>
    </row>
    <row r="418" spans="10:10" x14ac:dyDescent="0.25">
      <c r="J418" s="4"/>
    </row>
    <row r="419" spans="10:10" x14ac:dyDescent="0.25">
      <c r="J419" s="4"/>
    </row>
    <row r="420" spans="10:10" x14ac:dyDescent="0.25">
      <c r="J420" s="4"/>
    </row>
    <row r="421" spans="10:10" x14ac:dyDescent="0.25">
      <c r="J421" s="4"/>
    </row>
    <row r="422" spans="10:10" x14ac:dyDescent="0.25">
      <c r="J422" s="4"/>
    </row>
    <row r="423" spans="10:10" x14ac:dyDescent="0.25">
      <c r="J423" s="4"/>
    </row>
    <row r="424" spans="10:10" x14ac:dyDescent="0.25">
      <c r="J424" s="4"/>
    </row>
    <row r="425" spans="10:10" x14ac:dyDescent="0.25">
      <c r="J425" s="4"/>
    </row>
    <row r="426" spans="10:10" x14ac:dyDescent="0.25">
      <c r="J426" s="4"/>
    </row>
    <row r="427" spans="10:10" x14ac:dyDescent="0.25">
      <c r="J427" s="4"/>
    </row>
    <row r="428" spans="10:10" x14ac:dyDescent="0.25">
      <c r="J428" s="4"/>
    </row>
    <row r="429" spans="10:10" x14ac:dyDescent="0.25">
      <c r="J429" s="4"/>
    </row>
    <row r="430" spans="10:10" x14ac:dyDescent="0.25">
      <c r="J430" s="4"/>
    </row>
    <row r="431" spans="10:10" x14ac:dyDescent="0.25">
      <c r="J431" s="4"/>
    </row>
    <row r="432" spans="10:10" x14ac:dyDescent="0.25">
      <c r="J432" s="4"/>
    </row>
    <row r="433" spans="10:10" x14ac:dyDescent="0.25">
      <c r="J433" s="4"/>
    </row>
    <row r="434" spans="10:10" x14ac:dyDescent="0.25">
      <c r="J434" s="4"/>
    </row>
    <row r="435" spans="10:10" x14ac:dyDescent="0.25">
      <c r="J435" s="4"/>
    </row>
    <row r="436" spans="10:10" x14ac:dyDescent="0.25">
      <c r="J436" s="4"/>
    </row>
    <row r="437" spans="10:10" x14ac:dyDescent="0.25">
      <c r="J437" s="4"/>
    </row>
    <row r="438" spans="10:10" x14ac:dyDescent="0.25">
      <c r="J438" s="4"/>
    </row>
    <row r="439" spans="10:10" x14ac:dyDescent="0.25">
      <c r="J439" s="4"/>
    </row>
    <row r="440" spans="10:10" x14ac:dyDescent="0.25">
      <c r="J440" s="4"/>
    </row>
    <row r="441" spans="10:10" x14ac:dyDescent="0.25">
      <c r="J441" s="4"/>
    </row>
    <row r="442" spans="10:10" x14ac:dyDescent="0.25">
      <c r="J442" s="4"/>
    </row>
    <row r="443" spans="10:10" x14ac:dyDescent="0.25">
      <c r="J443" s="4"/>
    </row>
    <row r="444" spans="10:10" x14ac:dyDescent="0.25">
      <c r="J444" s="4"/>
    </row>
    <row r="445" spans="10:10" x14ac:dyDescent="0.25">
      <c r="J445" s="4"/>
    </row>
    <row r="446" spans="10:10" x14ac:dyDescent="0.25">
      <c r="J446" s="4"/>
    </row>
    <row r="447" spans="10:10" x14ac:dyDescent="0.25">
      <c r="J447" s="4"/>
    </row>
    <row r="448" spans="10:10" x14ac:dyDescent="0.25">
      <c r="J448" s="4"/>
    </row>
    <row r="449" spans="10:10" x14ac:dyDescent="0.25">
      <c r="J449" s="4"/>
    </row>
    <row r="450" spans="10:10" x14ac:dyDescent="0.25">
      <c r="J450" s="4"/>
    </row>
    <row r="451" spans="10:10" x14ac:dyDescent="0.25">
      <c r="J451" s="4"/>
    </row>
    <row r="452" spans="10:10" x14ac:dyDescent="0.25">
      <c r="J452" s="4"/>
    </row>
    <row r="453" spans="10:10" x14ac:dyDescent="0.25">
      <c r="J453" s="4"/>
    </row>
    <row r="454" spans="10:10" x14ac:dyDescent="0.25">
      <c r="J454" s="4"/>
    </row>
    <row r="455" spans="10:10" x14ac:dyDescent="0.25">
      <c r="J455" s="4"/>
    </row>
    <row r="456" spans="10:10" x14ac:dyDescent="0.25">
      <c r="J456" s="4"/>
    </row>
    <row r="457" spans="10:10" x14ac:dyDescent="0.25">
      <c r="J457" s="4"/>
    </row>
    <row r="458" spans="10:10" x14ac:dyDescent="0.25">
      <c r="J458" s="4"/>
    </row>
    <row r="459" spans="10:10" x14ac:dyDescent="0.25">
      <c r="J459" s="4"/>
    </row>
    <row r="460" spans="10:10" x14ac:dyDescent="0.25">
      <c r="J460" s="4"/>
    </row>
    <row r="461" spans="10:10" x14ac:dyDescent="0.25">
      <c r="J461" s="4"/>
    </row>
    <row r="462" spans="10:10" x14ac:dyDescent="0.25">
      <c r="J462" s="4"/>
    </row>
    <row r="463" spans="10:10" x14ac:dyDescent="0.25">
      <c r="J463" s="4"/>
    </row>
    <row r="464" spans="10:10" x14ac:dyDescent="0.25">
      <c r="J464" s="4"/>
    </row>
    <row r="465" spans="10:10" x14ac:dyDescent="0.25">
      <c r="J465" s="4"/>
    </row>
    <row r="466" spans="10:10" x14ac:dyDescent="0.25">
      <c r="J466" s="4"/>
    </row>
    <row r="467" spans="10:10" x14ac:dyDescent="0.25">
      <c r="J467" s="4"/>
    </row>
    <row r="468" spans="10:10" x14ac:dyDescent="0.25">
      <c r="J468" s="4"/>
    </row>
    <row r="469" spans="10:10" x14ac:dyDescent="0.25">
      <c r="J469" s="4"/>
    </row>
    <row r="470" spans="10:10" x14ac:dyDescent="0.25">
      <c r="J470" s="4"/>
    </row>
    <row r="471" spans="10:10" x14ac:dyDescent="0.25">
      <c r="J471" s="4"/>
    </row>
    <row r="472" spans="10:10" x14ac:dyDescent="0.25">
      <c r="J472" s="4"/>
    </row>
    <row r="473" spans="10:10" x14ac:dyDescent="0.25">
      <c r="J473" s="4"/>
    </row>
    <row r="474" spans="10:10" x14ac:dyDescent="0.25">
      <c r="J474" s="4"/>
    </row>
    <row r="475" spans="10:10" x14ac:dyDescent="0.25">
      <c r="J475" s="4"/>
    </row>
    <row r="476" spans="10:10" x14ac:dyDescent="0.25">
      <c r="J476" s="4"/>
    </row>
    <row r="477" spans="10:10" x14ac:dyDescent="0.25">
      <c r="J477" s="4"/>
    </row>
    <row r="478" spans="10:10" x14ac:dyDescent="0.25">
      <c r="J478" s="4"/>
    </row>
    <row r="479" spans="10:10" x14ac:dyDescent="0.25">
      <c r="J479" s="4"/>
    </row>
    <row r="480" spans="10:10" x14ac:dyDescent="0.25">
      <c r="J480" s="4"/>
    </row>
    <row r="481" spans="10:10" x14ac:dyDescent="0.25">
      <c r="J481" s="4"/>
    </row>
    <row r="482" spans="10:10" x14ac:dyDescent="0.25">
      <c r="J482" s="4"/>
    </row>
    <row r="483" spans="10:10" x14ac:dyDescent="0.25">
      <c r="J483" s="4"/>
    </row>
    <row r="484" spans="10:10" x14ac:dyDescent="0.25">
      <c r="J484" s="4"/>
    </row>
    <row r="485" spans="10:10" x14ac:dyDescent="0.25">
      <c r="J485" s="4"/>
    </row>
    <row r="486" spans="10:10" x14ac:dyDescent="0.25">
      <c r="J486" s="4"/>
    </row>
    <row r="487" spans="10:10" x14ac:dyDescent="0.25">
      <c r="J487" s="4"/>
    </row>
    <row r="488" spans="10:10" x14ac:dyDescent="0.25">
      <c r="J488" s="4"/>
    </row>
    <row r="489" spans="10:10" x14ac:dyDescent="0.25">
      <c r="J489" s="4"/>
    </row>
    <row r="490" spans="10:10" x14ac:dyDescent="0.25">
      <c r="J490" s="4"/>
    </row>
    <row r="491" spans="10:10" x14ac:dyDescent="0.25">
      <c r="J491" s="4"/>
    </row>
    <row r="492" spans="10:10" x14ac:dyDescent="0.25">
      <c r="J492" s="4"/>
    </row>
    <row r="493" spans="10:10" x14ac:dyDescent="0.25">
      <c r="J493" s="4"/>
    </row>
    <row r="494" spans="10:10" x14ac:dyDescent="0.25">
      <c r="J494" s="4"/>
    </row>
    <row r="495" spans="10:10" x14ac:dyDescent="0.25">
      <c r="J495" s="4"/>
    </row>
    <row r="496" spans="10:10" x14ac:dyDescent="0.25">
      <c r="J496" s="4"/>
    </row>
    <row r="497" spans="10:10" x14ac:dyDescent="0.25">
      <c r="J497" s="4"/>
    </row>
    <row r="498" spans="10:10" x14ac:dyDescent="0.25">
      <c r="J498" s="4"/>
    </row>
    <row r="499" spans="10:10" x14ac:dyDescent="0.25">
      <c r="J499" s="4"/>
    </row>
    <row r="500" spans="10:10" x14ac:dyDescent="0.25">
      <c r="J500" s="4"/>
    </row>
    <row r="501" spans="10:10" x14ac:dyDescent="0.25">
      <c r="J501" s="4"/>
    </row>
    <row r="502" spans="10:10" x14ac:dyDescent="0.25">
      <c r="J502" s="4"/>
    </row>
    <row r="503" spans="10:10" x14ac:dyDescent="0.25">
      <c r="J503" s="4"/>
    </row>
    <row r="504" spans="10:10" x14ac:dyDescent="0.25">
      <c r="J504" s="4"/>
    </row>
    <row r="505" spans="10:10" x14ac:dyDescent="0.25">
      <c r="J505" s="4"/>
    </row>
    <row r="506" spans="10:10" x14ac:dyDescent="0.25">
      <c r="J506" s="4"/>
    </row>
    <row r="507" spans="10:10" x14ac:dyDescent="0.25">
      <c r="J507" s="4"/>
    </row>
    <row r="508" spans="10:10" x14ac:dyDescent="0.25">
      <c r="J508" s="4"/>
    </row>
    <row r="509" spans="10:10" x14ac:dyDescent="0.25">
      <c r="J509" s="4"/>
    </row>
    <row r="510" spans="10:10" x14ac:dyDescent="0.25">
      <c r="J510" s="4"/>
    </row>
    <row r="511" spans="10:10" x14ac:dyDescent="0.25">
      <c r="J511" s="4"/>
    </row>
    <row r="512" spans="10:10" x14ac:dyDescent="0.25">
      <c r="J512" s="4"/>
    </row>
    <row r="513" spans="10:10" x14ac:dyDescent="0.25">
      <c r="J513" s="4"/>
    </row>
    <row r="514" spans="10:10" x14ac:dyDescent="0.25">
      <c r="J514" s="4"/>
    </row>
    <row r="515" spans="10:10" x14ac:dyDescent="0.25">
      <c r="J515" s="4"/>
    </row>
    <row r="516" spans="10:10" x14ac:dyDescent="0.25">
      <c r="J516" s="4"/>
    </row>
    <row r="517" spans="10:10" x14ac:dyDescent="0.25">
      <c r="J517" s="4"/>
    </row>
    <row r="518" spans="10:10" x14ac:dyDescent="0.25">
      <c r="J518" s="4"/>
    </row>
    <row r="519" spans="10:10" x14ac:dyDescent="0.25">
      <c r="J519" s="4"/>
    </row>
    <row r="520" spans="10:10" x14ac:dyDescent="0.25">
      <c r="J520" s="4"/>
    </row>
    <row r="521" spans="10:10" x14ac:dyDescent="0.25">
      <c r="J521" s="4"/>
    </row>
    <row r="522" spans="10:10" x14ac:dyDescent="0.25">
      <c r="J522" s="4"/>
    </row>
    <row r="523" spans="10:10" x14ac:dyDescent="0.25">
      <c r="J523" s="4"/>
    </row>
    <row r="524" spans="10:10" x14ac:dyDescent="0.25">
      <c r="J524" s="4"/>
    </row>
    <row r="525" spans="10:10" x14ac:dyDescent="0.25">
      <c r="J525" s="4"/>
    </row>
    <row r="526" spans="10:10" x14ac:dyDescent="0.25">
      <c r="J526" s="4"/>
    </row>
    <row r="527" spans="10:10" x14ac:dyDescent="0.25">
      <c r="J527" s="4"/>
    </row>
    <row r="528" spans="10:10" x14ac:dyDescent="0.25">
      <c r="J528" s="4"/>
    </row>
    <row r="529" spans="10:10" x14ac:dyDescent="0.25">
      <c r="J529" s="4"/>
    </row>
    <row r="530" spans="10:10" x14ac:dyDescent="0.25">
      <c r="J530" s="4"/>
    </row>
    <row r="531" spans="10:10" x14ac:dyDescent="0.25">
      <c r="J531" s="4"/>
    </row>
    <row r="532" spans="10:10" x14ac:dyDescent="0.25">
      <c r="J532" s="4"/>
    </row>
    <row r="533" spans="10:10" x14ac:dyDescent="0.25">
      <c r="J533" s="4"/>
    </row>
    <row r="534" spans="10:10" x14ac:dyDescent="0.25">
      <c r="J534" s="4"/>
    </row>
    <row r="535" spans="10:10" x14ac:dyDescent="0.25">
      <c r="J535" s="4"/>
    </row>
    <row r="536" spans="10:10" x14ac:dyDescent="0.25">
      <c r="J536" s="4"/>
    </row>
    <row r="537" spans="10:10" x14ac:dyDescent="0.25">
      <c r="J537" s="4"/>
    </row>
    <row r="538" spans="10:10" x14ac:dyDescent="0.25">
      <c r="J538" s="4"/>
    </row>
    <row r="539" spans="10:10" x14ac:dyDescent="0.25">
      <c r="J539" s="4"/>
    </row>
    <row r="540" spans="10:10" x14ac:dyDescent="0.25">
      <c r="J540" s="4"/>
    </row>
    <row r="541" spans="10:10" x14ac:dyDescent="0.25">
      <c r="J541" s="4"/>
    </row>
    <row r="542" spans="10:10" x14ac:dyDescent="0.25">
      <c r="J542" s="4"/>
    </row>
    <row r="543" spans="10:10" x14ac:dyDescent="0.25">
      <c r="J543" s="4"/>
    </row>
    <row r="544" spans="10:10" x14ac:dyDescent="0.25">
      <c r="J544" s="4"/>
    </row>
    <row r="545" spans="10:10" x14ac:dyDescent="0.25">
      <c r="J545" s="4"/>
    </row>
    <row r="546" spans="10:10" x14ac:dyDescent="0.25">
      <c r="J546" s="4"/>
    </row>
    <row r="547" spans="10:10" x14ac:dyDescent="0.25">
      <c r="J547" s="4"/>
    </row>
    <row r="548" spans="10:10" x14ac:dyDescent="0.25">
      <c r="J548" s="4"/>
    </row>
    <row r="549" spans="10:10" x14ac:dyDescent="0.25">
      <c r="J549" s="4"/>
    </row>
    <row r="550" spans="10:10" x14ac:dyDescent="0.25">
      <c r="J550" s="4"/>
    </row>
    <row r="551" spans="10:10" x14ac:dyDescent="0.25">
      <c r="J551" s="4"/>
    </row>
    <row r="552" spans="10:10" x14ac:dyDescent="0.25">
      <c r="J552" s="4"/>
    </row>
    <row r="553" spans="10:10" x14ac:dyDescent="0.25">
      <c r="J553" s="4"/>
    </row>
    <row r="554" spans="10:10" x14ac:dyDescent="0.25">
      <c r="J554" s="4"/>
    </row>
    <row r="555" spans="10:10" x14ac:dyDescent="0.25">
      <c r="J555" s="4"/>
    </row>
    <row r="556" spans="10:10" x14ac:dyDescent="0.25">
      <c r="J556" s="4"/>
    </row>
    <row r="557" spans="10:10" x14ac:dyDescent="0.25">
      <c r="J557" s="4"/>
    </row>
    <row r="558" spans="10:10" x14ac:dyDescent="0.25">
      <c r="J558" s="4"/>
    </row>
    <row r="559" spans="10:10" x14ac:dyDescent="0.25">
      <c r="J559" s="4"/>
    </row>
    <row r="560" spans="10:10" x14ac:dyDescent="0.25">
      <c r="J560" s="4"/>
    </row>
    <row r="561" spans="10:10" x14ac:dyDescent="0.25">
      <c r="J561" s="4"/>
    </row>
    <row r="562" spans="10:10" x14ac:dyDescent="0.25">
      <c r="J562" s="4"/>
    </row>
    <row r="563" spans="10:10" x14ac:dyDescent="0.25">
      <c r="J563" s="4"/>
    </row>
    <row r="564" spans="10:10" x14ac:dyDescent="0.25">
      <c r="J564" s="4"/>
    </row>
    <row r="565" spans="10:10" x14ac:dyDescent="0.25">
      <c r="J565" s="4"/>
    </row>
    <row r="566" spans="10:10" x14ac:dyDescent="0.25">
      <c r="J566" s="4"/>
    </row>
    <row r="567" spans="10:10" x14ac:dyDescent="0.25">
      <c r="J567" s="4"/>
    </row>
    <row r="568" spans="10:10" x14ac:dyDescent="0.25">
      <c r="J568" s="4"/>
    </row>
    <row r="569" spans="10:10" x14ac:dyDescent="0.25">
      <c r="J569" s="4"/>
    </row>
    <row r="570" spans="10:10" x14ac:dyDescent="0.25">
      <c r="J570" s="4"/>
    </row>
    <row r="571" spans="10:10" x14ac:dyDescent="0.25">
      <c r="J571" s="4"/>
    </row>
    <row r="572" spans="10:10" x14ac:dyDescent="0.25">
      <c r="J572" s="4"/>
    </row>
    <row r="573" spans="10:10" x14ac:dyDescent="0.25">
      <c r="J573" s="4"/>
    </row>
    <row r="574" spans="10:10" x14ac:dyDescent="0.25">
      <c r="J574" s="4"/>
    </row>
    <row r="575" spans="10:10" x14ac:dyDescent="0.25">
      <c r="J575" s="4"/>
    </row>
    <row r="576" spans="10:10" x14ac:dyDescent="0.25">
      <c r="J576" s="4"/>
    </row>
    <row r="577" spans="10:10" x14ac:dyDescent="0.25">
      <c r="J577" s="4"/>
    </row>
    <row r="578" spans="10:10" x14ac:dyDescent="0.25">
      <c r="J578" s="4"/>
    </row>
    <row r="579" spans="10:10" x14ac:dyDescent="0.25">
      <c r="J579" s="4"/>
    </row>
    <row r="580" spans="10:10" x14ac:dyDescent="0.25">
      <c r="J580" s="4"/>
    </row>
    <row r="581" spans="10:10" x14ac:dyDescent="0.25">
      <c r="J581" s="4"/>
    </row>
    <row r="582" spans="10:10" x14ac:dyDescent="0.25">
      <c r="J582" s="4"/>
    </row>
    <row r="583" spans="10:10" x14ac:dyDescent="0.25">
      <c r="J583" s="4"/>
    </row>
    <row r="584" spans="10:10" x14ac:dyDescent="0.25">
      <c r="J584" s="4"/>
    </row>
    <row r="585" spans="10:10" x14ac:dyDescent="0.25">
      <c r="J585" s="4"/>
    </row>
    <row r="586" spans="10:10" x14ac:dyDescent="0.25">
      <c r="J586" s="4"/>
    </row>
    <row r="587" spans="10:10" x14ac:dyDescent="0.25">
      <c r="J587" s="4"/>
    </row>
    <row r="588" spans="10:10" x14ac:dyDescent="0.25">
      <c r="J588" s="4"/>
    </row>
    <row r="589" spans="10:10" x14ac:dyDescent="0.25">
      <c r="J589" s="4"/>
    </row>
    <row r="590" spans="10:10" x14ac:dyDescent="0.25">
      <c r="J590" s="4"/>
    </row>
    <row r="591" spans="10:10" x14ac:dyDescent="0.25">
      <c r="J591" s="4"/>
    </row>
    <row r="592" spans="10:10" x14ac:dyDescent="0.25">
      <c r="J592" s="4"/>
    </row>
    <row r="593" spans="10:10" x14ac:dyDescent="0.25">
      <c r="J593" s="4"/>
    </row>
    <row r="594" spans="10:10" x14ac:dyDescent="0.25">
      <c r="J594" s="4"/>
    </row>
    <row r="595" spans="10:10" x14ac:dyDescent="0.25">
      <c r="J595" s="4"/>
    </row>
    <row r="596" spans="10:10" x14ac:dyDescent="0.25">
      <c r="J596" s="4"/>
    </row>
    <row r="597" spans="10:10" x14ac:dyDescent="0.25">
      <c r="J597" s="4"/>
    </row>
    <row r="598" spans="10:10" x14ac:dyDescent="0.25">
      <c r="J598" s="4"/>
    </row>
    <row r="599" spans="10:10" x14ac:dyDescent="0.25">
      <c r="J599" s="4"/>
    </row>
    <row r="600" spans="10:10" x14ac:dyDescent="0.25">
      <c r="J600" s="4"/>
    </row>
    <row r="601" spans="10:10" x14ac:dyDescent="0.25">
      <c r="J601" s="4"/>
    </row>
    <row r="602" spans="10:10" x14ac:dyDescent="0.25">
      <c r="J602" s="4"/>
    </row>
    <row r="603" spans="10:10" x14ac:dyDescent="0.25">
      <c r="J603" s="4"/>
    </row>
    <row r="604" spans="10:10" x14ac:dyDescent="0.25">
      <c r="J604" s="4"/>
    </row>
    <row r="605" spans="10:10" x14ac:dyDescent="0.25">
      <c r="J605" s="4"/>
    </row>
    <row r="606" spans="10:10" x14ac:dyDescent="0.25">
      <c r="J606" s="4"/>
    </row>
    <row r="607" spans="10:10" x14ac:dyDescent="0.25">
      <c r="J607" s="4"/>
    </row>
    <row r="608" spans="10:10" x14ac:dyDescent="0.25">
      <c r="J608" s="4"/>
    </row>
    <row r="609" spans="10:10" x14ac:dyDescent="0.25">
      <c r="J609" s="4"/>
    </row>
    <row r="610" spans="10:10" x14ac:dyDescent="0.25">
      <c r="J610" s="4"/>
    </row>
    <row r="611" spans="10:10" x14ac:dyDescent="0.25">
      <c r="J611" s="4"/>
    </row>
    <row r="612" spans="10:10" x14ac:dyDescent="0.25">
      <c r="J612" s="4"/>
    </row>
    <row r="613" spans="10:10" x14ac:dyDescent="0.25">
      <c r="J613" s="4"/>
    </row>
    <row r="614" spans="10:10" x14ac:dyDescent="0.25">
      <c r="J614" s="4"/>
    </row>
    <row r="615" spans="10:10" x14ac:dyDescent="0.25">
      <c r="J615" s="4"/>
    </row>
    <row r="616" spans="10:10" x14ac:dyDescent="0.25">
      <c r="J616" s="4"/>
    </row>
    <row r="617" spans="10:10" x14ac:dyDescent="0.25">
      <c r="J617" s="4"/>
    </row>
    <row r="618" spans="10:10" x14ac:dyDescent="0.25">
      <c r="J618" s="4"/>
    </row>
    <row r="619" spans="10:10" x14ac:dyDescent="0.25">
      <c r="J619" s="4"/>
    </row>
    <row r="620" spans="10:10" x14ac:dyDescent="0.25">
      <c r="J620" s="4"/>
    </row>
    <row r="621" spans="10:10" x14ac:dyDescent="0.25">
      <c r="J621" s="4"/>
    </row>
    <row r="622" spans="10:10" x14ac:dyDescent="0.25">
      <c r="J622" s="4"/>
    </row>
    <row r="623" spans="10:10" x14ac:dyDescent="0.25">
      <c r="J623" s="4"/>
    </row>
    <row r="624" spans="10:10" x14ac:dyDescent="0.25">
      <c r="J624" s="4"/>
    </row>
    <row r="625" spans="10:10" x14ac:dyDescent="0.25">
      <c r="J625" s="4"/>
    </row>
    <row r="626" spans="10:10" x14ac:dyDescent="0.25">
      <c r="J626" s="4"/>
    </row>
    <row r="627" spans="10:10" x14ac:dyDescent="0.25">
      <c r="J627" s="4"/>
    </row>
    <row r="628" spans="10:10" x14ac:dyDescent="0.25">
      <c r="J628" s="4"/>
    </row>
    <row r="629" spans="10:10" x14ac:dyDescent="0.25">
      <c r="J629" s="4"/>
    </row>
    <row r="630" spans="10:10" x14ac:dyDescent="0.25">
      <c r="J630" s="4"/>
    </row>
    <row r="631" spans="10:10" x14ac:dyDescent="0.25">
      <c r="J631" s="4"/>
    </row>
    <row r="632" spans="10:10" x14ac:dyDescent="0.25">
      <c r="J632" s="4"/>
    </row>
    <row r="633" spans="10:10" x14ac:dyDescent="0.25">
      <c r="J633" s="4"/>
    </row>
    <row r="634" spans="10:10" x14ac:dyDescent="0.25">
      <c r="J634" s="4"/>
    </row>
    <row r="635" spans="10:10" x14ac:dyDescent="0.25">
      <c r="J635" s="4"/>
    </row>
    <row r="636" spans="10:10" x14ac:dyDescent="0.25">
      <c r="J636" s="4"/>
    </row>
    <row r="637" spans="10:10" x14ac:dyDescent="0.25">
      <c r="J637" s="4"/>
    </row>
    <row r="638" spans="10:10" x14ac:dyDescent="0.25">
      <c r="J638" s="4"/>
    </row>
    <row r="639" spans="10:10" x14ac:dyDescent="0.25">
      <c r="J639" s="4"/>
    </row>
    <row r="640" spans="10:10" x14ac:dyDescent="0.25">
      <c r="J640" s="4"/>
    </row>
    <row r="641" spans="10:10" x14ac:dyDescent="0.25">
      <c r="J641" s="4"/>
    </row>
    <row r="642" spans="10:10" x14ac:dyDescent="0.25">
      <c r="J642" s="4"/>
    </row>
    <row r="643" spans="10:10" x14ac:dyDescent="0.25">
      <c r="J643" s="4"/>
    </row>
    <row r="644" spans="10:10" x14ac:dyDescent="0.25">
      <c r="J644" s="4"/>
    </row>
    <row r="645" spans="10:10" x14ac:dyDescent="0.25">
      <c r="J645" s="4"/>
    </row>
    <row r="646" spans="10:10" x14ac:dyDescent="0.25">
      <c r="J646" s="4"/>
    </row>
    <row r="647" spans="10:10" x14ac:dyDescent="0.25">
      <c r="J647" s="4"/>
    </row>
    <row r="648" spans="10:10" x14ac:dyDescent="0.25">
      <c r="J648" s="4"/>
    </row>
    <row r="649" spans="10:10" x14ac:dyDescent="0.25">
      <c r="J649" s="4"/>
    </row>
    <row r="650" spans="10:10" x14ac:dyDescent="0.25">
      <c r="J650" s="4"/>
    </row>
    <row r="651" spans="10:10" x14ac:dyDescent="0.25">
      <c r="J651" s="4"/>
    </row>
    <row r="652" spans="10:10" x14ac:dyDescent="0.25">
      <c r="J652" s="4"/>
    </row>
    <row r="653" spans="10:10" x14ac:dyDescent="0.25">
      <c r="J653" s="4"/>
    </row>
    <row r="654" spans="10:10" x14ac:dyDescent="0.25">
      <c r="J654" s="4"/>
    </row>
    <row r="655" spans="10:10" x14ac:dyDescent="0.25">
      <c r="J655" s="4"/>
    </row>
    <row r="656" spans="10:10" x14ac:dyDescent="0.25">
      <c r="J656" s="4"/>
    </row>
    <row r="657" spans="10:10" x14ac:dyDescent="0.25">
      <c r="J657" s="4"/>
    </row>
    <row r="658" spans="10:10" x14ac:dyDescent="0.25">
      <c r="J658" s="4"/>
    </row>
    <row r="659" spans="10:10" x14ac:dyDescent="0.25">
      <c r="J659" s="4"/>
    </row>
    <row r="660" spans="10:10" x14ac:dyDescent="0.25">
      <c r="J660" s="4"/>
    </row>
    <row r="661" spans="10:10" x14ac:dyDescent="0.25">
      <c r="J661" s="4"/>
    </row>
    <row r="662" spans="10:10" x14ac:dyDescent="0.25">
      <c r="J662" s="4"/>
    </row>
    <row r="663" spans="10:10" x14ac:dyDescent="0.25">
      <c r="J663" s="4"/>
    </row>
    <row r="664" spans="10:10" x14ac:dyDescent="0.25">
      <c r="J664" s="4"/>
    </row>
    <row r="665" spans="10:10" x14ac:dyDescent="0.25">
      <c r="J665" s="4"/>
    </row>
    <row r="666" spans="10:10" x14ac:dyDescent="0.25">
      <c r="J666" s="4"/>
    </row>
    <row r="667" spans="10:10" x14ac:dyDescent="0.25">
      <c r="J667" s="4"/>
    </row>
    <row r="668" spans="10:10" x14ac:dyDescent="0.25">
      <c r="J668" s="4"/>
    </row>
    <row r="669" spans="10:10" x14ac:dyDescent="0.25">
      <c r="J669" s="4"/>
    </row>
    <row r="670" spans="10:10" x14ac:dyDescent="0.25">
      <c r="J670" s="4"/>
    </row>
    <row r="671" spans="10:10" x14ac:dyDescent="0.25">
      <c r="J671" s="4"/>
    </row>
    <row r="672" spans="10:10" x14ac:dyDescent="0.25">
      <c r="J672" s="4"/>
    </row>
    <row r="673" spans="10:10" x14ac:dyDescent="0.25">
      <c r="J673" s="4"/>
    </row>
    <row r="674" spans="10:10" x14ac:dyDescent="0.25">
      <c r="J674" s="4"/>
    </row>
    <row r="675" spans="10:10" x14ac:dyDescent="0.25">
      <c r="J675" s="4"/>
    </row>
    <row r="676" spans="10:10" x14ac:dyDescent="0.25">
      <c r="J676" s="4"/>
    </row>
    <row r="677" spans="10:10" x14ac:dyDescent="0.25">
      <c r="J677" s="4"/>
    </row>
    <row r="678" spans="10:10" x14ac:dyDescent="0.25">
      <c r="J678" s="4"/>
    </row>
    <row r="679" spans="10:10" x14ac:dyDescent="0.25">
      <c r="J679" s="4"/>
    </row>
    <row r="680" spans="10:10" x14ac:dyDescent="0.25">
      <c r="J680" s="4"/>
    </row>
    <row r="681" spans="10:10" x14ac:dyDescent="0.25">
      <c r="J681" s="4"/>
    </row>
    <row r="682" spans="10:10" x14ac:dyDescent="0.25">
      <c r="J682" s="4"/>
    </row>
    <row r="683" spans="10:10" x14ac:dyDescent="0.25">
      <c r="J683" s="4"/>
    </row>
    <row r="684" spans="10:10" x14ac:dyDescent="0.25">
      <c r="J684" s="4"/>
    </row>
    <row r="685" spans="10:10" x14ac:dyDescent="0.25">
      <c r="J685" s="4"/>
    </row>
    <row r="686" spans="10:10" x14ac:dyDescent="0.25">
      <c r="J686" s="4"/>
    </row>
    <row r="687" spans="10:10" x14ac:dyDescent="0.25">
      <c r="J687" s="4"/>
    </row>
    <row r="688" spans="10:10" x14ac:dyDescent="0.25">
      <c r="J688" s="4"/>
    </row>
    <row r="689" spans="10:10" x14ac:dyDescent="0.25">
      <c r="J689" s="4"/>
    </row>
    <row r="690" spans="10:10" x14ac:dyDescent="0.25">
      <c r="J690" s="4"/>
    </row>
    <row r="691" spans="10:10" x14ac:dyDescent="0.25">
      <c r="J691" s="4"/>
    </row>
    <row r="692" spans="10:10" x14ac:dyDescent="0.25">
      <c r="J692" s="4"/>
    </row>
    <row r="693" spans="10:10" x14ac:dyDescent="0.25">
      <c r="J693" s="4"/>
    </row>
    <row r="694" spans="10:10" x14ac:dyDescent="0.25">
      <c r="J694" s="4"/>
    </row>
    <row r="695" spans="10:10" x14ac:dyDescent="0.25">
      <c r="J695" s="4"/>
    </row>
    <row r="696" spans="10:10" x14ac:dyDescent="0.25">
      <c r="J696" s="4"/>
    </row>
    <row r="697" spans="10:10" x14ac:dyDescent="0.25">
      <c r="J697" s="4"/>
    </row>
    <row r="698" spans="10:10" x14ac:dyDescent="0.25">
      <c r="J698" s="4"/>
    </row>
    <row r="699" spans="10:10" x14ac:dyDescent="0.25">
      <c r="J699" s="4"/>
    </row>
    <row r="700" spans="10:10" x14ac:dyDescent="0.25">
      <c r="J700" s="4"/>
    </row>
    <row r="701" spans="10:10" x14ac:dyDescent="0.25">
      <c r="J701" s="4"/>
    </row>
    <row r="702" spans="10:10" x14ac:dyDescent="0.25">
      <c r="J702" s="4"/>
    </row>
    <row r="703" spans="10:10" x14ac:dyDescent="0.25">
      <c r="J703" s="4"/>
    </row>
    <row r="704" spans="10:10" x14ac:dyDescent="0.25">
      <c r="J704" s="4"/>
    </row>
    <row r="705" spans="10:10" x14ac:dyDescent="0.25">
      <c r="J705" s="4"/>
    </row>
    <row r="706" spans="10:10" x14ac:dyDescent="0.25">
      <c r="J706" s="4"/>
    </row>
    <row r="707" spans="10:10" x14ac:dyDescent="0.25">
      <c r="J707" s="4"/>
    </row>
    <row r="708" spans="10:10" x14ac:dyDescent="0.25">
      <c r="J708" s="4"/>
    </row>
    <row r="709" spans="10:10" x14ac:dyDescent="0.25">
      <c r="J709" s="4"/>
    </row>
    <row r="710" spans="10:10" x14ac:dyDescent="0.25">
      <c r="J710" s="4"/>
    </row>
    <row r="711" spans="10:10" x14ac:dyDescent="0.25">
      <c r="J711" s="4"/>
    </row>
    <row r="712" spans="10:10" x14ac:dyDescent="0.25">
      <c r="J712" s="4"/>
    </row>
    <row r="713" spans="10:10" x14ac:dyDescent="0.25">
      <c r="J713" s="4"/>
    </row>
    <row r="714" spans="10:10" x14ac:dyDescent="0.25">
      <c r="J714" s="4"/>
    </row>
    <row r="715" spans="10:10" x14ac:dyDescent="0.25">
      <c r="J715" s="4"/>
    </row>
    <row r="716" spans="10:10" x14ac:dyDescent="0.25">
      <c r="J716" s="4"/>
    </row>
    <row r="717" spans="10:10" x14ac:dyDescent="0.25">
      <c r="J717" s="4"/>
    </row>
    <row r="718" spans="10:10" x14ac:dyDescent="0.25">
      <c r="J718" s="4"/>
    </row>
    <row r="719" spans="10:10" x14ac:dyDescent="0.25">
      <c r="J719" s="4"/>
    </row>
    <row r="720" spans="10:10" x14ac:dyDescent="0.25">
      <c r="J720" s="4"/>
    </row>
    <row r="721" spans="10:10" x14ac:dyDescent="0.25">
      <c r="J721" s="4"/>
    </row>
    <row r="722" spans="10:10" x14ac:dyDescent="0.25">
      <c r="J722" s="4"/>
    </row>
    <row r="723" spans="10:10" x14ac:dyDescent="0.25">
      <c r="J723" s="4"/>
    </row>
    <row r="724" spans="10:10" x14ac:dyDescent="0.25">
      <c r="J724" s="4"/>
    </row>
    <row r="725" spans="10:10" x14ac:dyDescent="0.25">
      <c r="J725" s="4"/>
    </row>
    <row r="726" spans="10:10" x14ac:dyDescent="0.25">
      <c r="J726" s="4"/>
    </row>
    <row r="727" spans="10:10" x14ac:dyDescent="0.25">
      <c r="J727" s="4"/>
    </row>
    <row r="728" spans="10:10" x14ac:dyDescent="0.25">
      <c r="J728" s="4"/>
    </row>
    <row r="729" spans="10:10" x14ac:dyDescent="0.25">
      <c r="J729" s="4"/>
    </row>
    <row r="730" spans="10:10" x14ac:dyDescent="0.25">
      <c r="J730" s="4"/>
    </row>
    <row r="731" spans="10:10" x14ac:dyDescent="0.25">
      <c r="J731" s="4"/>
    </row>
    <row r="732" spans="10:10" x14ac:dyDescent="0.25">
      <c r="J732" s="4"/>
    </row>
    <row r="733" spans="10:10" x14ac:dyDescent="0.25">
      <c r="J733" s="4"/>
    </row>
    <row r="734" spans="10:10" x14ac:dyDescent="0.25">
      <c r="J734" s="4"/>
    </row>
    <row r="735" spans="10:10" x14ac:dyDescent="0.25">
      <c r="J735" s="4"/>
    </row>
    <row r="736" spans="10:10" x14ac:dyDescent="0.25">
      <c r="J736" s="4"/>
    </row>
    <row r="737" spans="10:10" x14ac:dyDescent="0.25">
      <c r="J737" s="4"/>
    </row>
    <row r="738" spans="10:10" x14ac:dyDescent="0.25">
      <c r="J738" s="4"/>
    </row>
    <row r="739" spans="10:10" x14ac:dyDescent="0.25">
      <c r="J739" s="4"/>
    </row>
    <row r="740" spans="10:10" x14ac:dyDescent="0.25">
      <c r="J740" s="4"/>
    </row>
    <row r="741" spans="10:10" x14ac:dyDescent="0.25">
      <c r="J741" s="4"/>
    </row>
    <row r="742" spans="10:10" x14ac:dyDescent="0.25">
      <c r="J742" s="4"/>
    </row>
    <row r="743" spans="10:10" x14ac:dyDescent="0.25">
      <c r="J743" s="4"/>
    </row>
    <row r="744" spans="10:10" x14ac:dyDescent="0.25">
      <c r="J744" s="4"/>
    </row>
    <row r="745" spans="10:10" x14ac:dyDescent="0.25">
      <c r="J745" s="4"/>
    </row>
    <row r="746" spans="10:10" x14ac:dyDescent="0.25">
      <c r="J746" s="4"/>
    </row>
    <row r="747" spans="10:10" x14ac:dyDescent="0.25">
      <c r="J747" s="4"/>
    </row>
    <row r="748" spans="10:10" x14ac:dyDescent="0.25">
      <c r="J748" s="4"/>
    </row>
    <row r="749" spans="10:10" x14ac:dyDescent="0.25">
      <c r="J749" s="4"/>
    </row>
    <row r="750" spans="10:10" x14ac:dyDescent="0.25">
      <c r="J750" s="4"/>
    </row>
    <row r="751" spans="10:10" x14ac:dyDescent="0.25">
      <c r="J751" s="4"/>
    </row>
    <row r="752" spans="10:10" x14ac:dyDescent="0.25">
      <c r="J752" s="4"/>
    </row>
    <row r="753" spans="10:10" x14ac:dyDescent="0.25">
      <c r="J753" s="4"/>
    </row>
    <row r="754" spans="10:10" x14ac:dyDescent="0.25">
      <c r="J754" s="4"/>
    </row>
    <row r="755" spans="10:10" x14ac:dyDescent="0.25">
      <c r="J755" s="4"/>
    </row>
    <row r="756" spans="10:10" x14ac:dyDescent="0.25">
      <c r="J756" s="4"/>
    </row>
    <row r="757" spans="10:10" x14ac:dyDescent="0.25">
      <c r="J757" s="4"/>
    </row>
    <row r="758" spans="10:10" x14ac:dyDescent="0.25">
      <c r="J758" s="4"/>
    </row>
    <row r="759" spans="10:10" x14ac:dyDescent="0.25">
      <c r="J759" s="4"/>
    </row>
    <row r="760" spans="10:10" x14ac:dyDescent="0.25">
      <c r="J760" s="4"/>
    </row>
    <row r="761" spans="10:10" x14ac:dyDescent="0.25">
      <c r="J761" s="4"/>
    </row>
    <row r="762" spans="10:10" x14ac:dyDescent="0.25">
      <c r="J762" s="4"/>
    </row>
    <row r="763" spans="10:10" x14ac:dyDescent="0.25">
      <c r="J763" s="4"/>
    </row>
    <row r="764" spans="10:10" x14ac:dyDescent="0.25">
      <c r="J764" s="4"/>
    </row>
    <row r="765" spans="10:10" x14ac:dyDescent="0.25">
      <c r="J765" s="4"/>
    </row>
    <row r="766" spans="10:10" x14ac:dyDescent="0.25">
      <c r="J766" s="4"/>
    </row>
    <row r="767" spans="10:10" x14ac:dyDescent="0.25">
      <c r="J767" s="4"/>
    </row>
    <row r="768" spans="10:10" x14ac:dyDescent="0.25">
      <c r="J768" s="4"/>
    </row>
    <row r="769" spans="10:10" x14ac:dyDescent="0.25">
      <c r="J769" s="4"/>
    </row>
    <row r="770" spans="10:10" x14ac:dyDescent="0.25">
      <c r="J770" s="4"/>
    </row>
    <row r="771" spans="10:10" x14ac:dyDescent="0.25">
      <c r="J771" s="4"/>
    </row>
    <row r="772" spans="10:10" x14ac:dyDescent="0.25">
      <c r="J772" s="4"/>
    </row>
    <row r="773" spans="10:10" x14ac:dyDescent="0.25">
      <c r="J773" s="4"/>
    </row>
    <row r="774" spans="10:10" x14ac:dyDescent="0.25">
      <c r="J774" s="4"/>
    </row>
    <row r="775" spans="10:10" x14ac:dyDescent="0.25">
      <c r="J775" s="4"/>
    </row>
    <row r="776" spans="10:10" x14ac:dyDescent="0.25">
      <c r="J776" s="4"/>
    </row>
    <row r="777" spans="10:10" x14ac:dyDescent="0.25">
      <c r="J777" s="4"/>
    </row>
    <row r="778" spans="10:10" x14ac:dyDescent="0.25">
      <c r="J778" s="4"/>
    </row>
    <row r="779" spans="10:10" x14ac:dyDescent="0.25">
      <c r="J779" s="4"/>
    </row>
    <row r="780" spans="10:10" x14ac:dyDescent="0.25">
      <c r="J780" s="4"/>
    </row>
    <row r="781" spans="10:10" x14ac:dyDescent="0.25">
      <c r="J781" s="4"/>
    </row>
    <row r="782" spans="10:10" x14ac:dyDescent="0.25">
      <c r="J782" s="4"/>
    </row>
    <row r="783" spans="10:10" x14ac:dyDescent="0.25">
      <c r="J783" s="4"/>
    </row>
    <row r="784" spans="10:10" x14ac:dyDescent="0.25">
      <c r="J784" s="4"/>
    </row>
    <row r="785" spans="10:10" x14ac:dyDescent="0.25">
      <c r="J785" s="4"/>
    </row>
    <row r="786" spans="10:10" x14ac:dyDescent="0.25">
      <c r="J786" s="4"/>
    </row>
    <row r="787" spans="10:10" x14ac:dyDescent="0.25">
      <c r="J787" s="4"/>
    </row>
    <row r="788" spans="10:10" x14ac:dyDescent="0.25">
      <c r="J788" s="4"/>
    </row>
    <row r="789" spans="10:10" x14ac:dyDescent="0.25">
      <c r="J789" s="4"/>
    </row>
    <row r="790" spans="10:10" x14ac:dyDescent="0.25">
      <c r="J790" s="4"/>
    </row>
    <row r="791" spans="10:10" x14ac:dyDescent="0.25">
      <c r="J791" s="4"/>
    </row>
    <row r="792" spans="10:10" x14ac:dyDescent="0.25">
      <c r="J792" s="4"/>
    </row>
    <row r="793" spans="10:10" x14ac:dyDescent="0.25">
      <c r="J793" s="4"/>
    </row>
    <row r="794" spans="10:10" x14ac:dyDescent="0.25">
      <c r="J794" s="4"/>
    </row>
    <row r="795" spans="10:10" x14ac:dyDescent="0.25">
      <c r="J795" s="4"/>
    </row>
    <row r="796" spans="10:10" x14ac:dyDescent="0.25">
      <c r="J796" s="4"/>
    </row>
    <row r="797" spans="10:10" x14ac:dyDescent="0.25">
      <c r="J797" s="4"/>
    </row>
    <row r="798" spans="10:10" x14ac:dyDescent="0.25">
      <c r="J798" s="4"/>
    </row>
    <row r="799" spans="10:10" x14ac:dyDescent="0.25">
      <c r="J799" s="4"/>
    </row>
    <row r="800" spans="10:10" x14ac:dyDescent="0.25">
      <c r="J800" s="4"/>
    </row>
    <row r="801" spans="10:10" x14ac:dyDescent="0.25">
      <c r="J801" s="4"/>
    </row>
    <row r="802" spans="10:10" x14ac:dyDescent="0.25">
      <c r="J802" s="4"/>
    </row>
    <row r="803" spans="10:10" x14ac:dyDescent="0.25">
      <c r="J803" s="4"/>
    </row>
    <row r="804" spans="10:10" x14ac:dyDescent="0.25">
      <c r="J804" s="4"/>
    </row>
    <row r="805" spans="10:10" x14ac:dyDescent="0.25">
      <c r="J805" s="4"/>
    </row>
    <row r="806" spans="10:10" x14ac:dyDescent="0.25">
      <c r="J806" s="4"/>
    </row>
    <row r="807" spans="10:10" x14ac:dyDescent="0.25">
      <c r="J807" s="4"/>
    </row>
    <row r="808" spans="10:10" x14ac:dyDescent="0.25">
      <c r="J808" s="4"/>
    </row>
    <row r="809" spans="10:10" x14ac:dyDescent="0.25">
      <c r="J809" s="4"/>
    </row>
    <row r="810" spans="10:10" x14ac:dyDescent="0.25">
      <c r="J810" s="4"/>
    </row>
    <row r="811" spans="10:10" x14ac:dyDescent="0.25">
      <c r="J811" s="4"/>
    </row>
    <row r="812" spans="10:10" x14ac:dyDescent="0.25">
      <c r="J812" s="4"/>
    </row>
    <row r="813" spans="10:10" x14ac:dyDescent="0.25">
      <c r="J813" s="4"/>
    </row>
    <row r="814" spans="10:10" x14ac:dyDescent="0.25">
      <c r="J814" s="4"/>
    </row>
    <row r="815" spans="10:10" x14ac:dyDescent="0.25">
      <c r="J815" s="4"/>
    </row>
    <row r="816" spans="10:10" x14ac:dyDescent="0.25">
      <c r="J816" s="4"/>
    </row>
    <row r="817" spans="10:10" x14ac:dyDescent="0.25">
      <c r="J817" s="4"/>
    </row>
    <row r="818" spans="10:10" x14ac:dyDescent="0.25">
      <c r="J818" s="4"/>
    </row>
    <row r="819" spans="10:10" x14ac:dyDescent="0.25">
      <c r="J819" s="4"/>
    </row>
    <row r="820" spans="10:10" x14ac:dyDescent="0.25">
      <c r="J820" s="4"/>
    </row>
    <row r="821" spans="10:10" x14ac:dyDescent="0.25">
      <c r="J821" s="4"/>
    </row>
    <row r="822" spans="10:10" x14ac:dyDescent="0.25">
      <c r="J822" s="4"/>
    </row>
    <row r="823" spans="10:10" x14ac:dyDescent="0.25">
      <c r="J823" s="4"/>
    </row>
    <row r="824" spans="10:10" x14ac:dyDescent="0.25">
      <c r="J824" s="4"/>
    </row>
    <row r="825" spans="10:10" x14ac:dyDescent="0.25">
      <c r="J825" s="4"/>
    </row>
    <row r="826" spans="10:10" x14ac:dyDescent="0.25">
      <c r="J826" s="4"/>
    </row>
    <row r="827" spans="10:10" x14ac:dyDescent="0.25">
      <c r="J827" s="4"/>
    </row>
    <row r="828" spans="10:10" x14ac:dyDescent="0.25">
      <c r="J828" s="4"/>
    </row>
    <row r="829" spans="10:10" x14ac:dyDescent="0.25">
      <c r="J829" s="4"/>
    </row>
    <row r="830" spans="10:10" x14ac:dyDescent="0.25">
      <c r="J830" s="4"/>
    </row>
    <row r="831" spans="10:10" x14ac:dyDescent="0.25">
      <c r="J831" s="4"/>
    </row>
    <row r="832" spans="10:10" x14ac:dyDescent="0.25">
      <c r="J832" s="4"/>
    </row>
    <row r="833" spans="10:10" x14ac:dyDescent="0.25">
      <c r="J833" s="4"/>
    </row>
    <row r="834" spans="10:10" x14ac:dyDescent="0.25">
      <c r="J834" s="4"/>
    </row>
    <row r="835" spans="10:10" x14ac:dyDescent="0.25">
      <c r="J835" s="4"/>
    </row>
    <row r="836" spans="10:10" x14ac:dyDescent="0.25">
      <c r="J836" s="4"/>
    </row>
    <row r="837" spans="10:10" x14ac:dyDescent="0.25">
      <c r="J837" s="4"/>
    </row>
    <row r="838" spans="10:10" x14ac:dyDescent="0.25">
      <c r="J838" s="4"/>
    </row>
    <row r="839" spans="10:10" x14ac:dyDescent="0.25">
      <c r="J839" s="4"/>
    </row>
    <row r="840" spans="10:10" x14ac:dyDescent="0.25">
      <c r="J840" s="4"/>
    </row>
    <row r="841" spans="10:10" x14ac:dyDescent="0.25">
      <c r="J841" s="4"/>
    </row>
    <row r="842" spans="10:10" x14ac:dyDescent="0.25">
      <c r="J842" s="4"/>
    </row>
    <row r="843" spans="10:10" x14ac:dyDescent="0.25">
      <c r="J843" s="4"/>
    </row>
    <row r="844" spans="10:10" x14ac:dyDescent="0.25">
      <c r="J844" s="4"/>
    </row>
    <row r="845" spans="10:10" x14ac:dyDescent="0.25">
      <c r="J845" s="4"/>
    </row>
    <row r="846" spans="10:10" x14ac:dyDescent="0.25">
      <c r="J846" s="4"/>
    </row>
    <row r="847" spans="10:10" x14ac:dyDescent="0.25">
      <c r="J847" s="4"/>
    </row>
    <row r="848" spans="10:10" x14ac:dyDescent="0.25">
      <c r="J848" s="4"/>
    </row>
    <row r="849" spans="10:10" x14ac:dyDescent="0.25">
      <c r="J849" s="4"/>
    </row>
    <row r="850" spans="10:10" x14ac:dyDescent="0.25">
      <c r="J850" s="4"/>
    </row>
    <row r="851" spans="10:10" x14ac:dyDescent="0.25">
      <c r="J851" s="4"/>
    </row>
    <row r="852" spans="10:10" x14ac:dyDescent="0.25">
      <c r="J852" s="4"/>
    </row>
    <row r="853" spans="10:10" x14ac:dyDescent="0.25">
      <c r="J853" s="4"/>
    </row>
    <row r="854" spans="10:10" x14ac:dyDescent="0.25">
      <c r="J854" s="4"/>
    </row>
    <row r="855" spans="10:10" x14ac:dyDescent="0.25">
      <c r="J855" s="4"/>
    </row>
    <row r="856" spans="10:10" x14ac:dyDescent="0.25">
      <c r="J856" s="4"/>
    </row>
    <row r="857" spans="10:10" x14ac:dyDescent="0.25">
      <c r="J857" s="4"/>
    </row>
    <row r="858" spans="10:10" x14ac:dyDescent="0.25">
      <c r="J858" s="4"/>
    </row>
    <row r="859" spans="10:10" x14ac:dyDescent="0.25">
      <c r="J859" s="4"/>
    </row>
    <row r="860" spans="10:10" x14ac:dyDescent="0.25">
      <c r="J860" s="4"/>
    </row>
    <row r="861" spans="10:10" x14ac:dyDescent="0.25">
      <c r="J861" s="4"/>
    </row>
    <row r="862" spans="10:10" x14ac:dyDescent="0.25">
      <c r="J862" s="4"/>
    </row>
    <row r="863" spans="10:10" x14ac:dyDescent="0.25">
      <c r="J863" s="4"/>
    </row>
    <row r="864" spans="10:10" x14ac:dyDescent="0.25">
      <c r="J864" s="4"/>
    </row>
    <row r="865" spans="10:10" x14ac:dyDescent="0.25">
      <c r="J865" s="4"/>
    </row>
    <row r="866" spans="10:10" x14ac:dyDescent="0.25">
      <c r="J866" s="4"/>
    </row>
    <row r="867" spans="10:10" x14ac:dyDescent="0.25">
      <c r="J867" s="4"/>
    </row>
    <row r="868" spans="10:10" x14ac:dyDescent="0.25">
      <c r="J868" s="4"/>
    </row>
    <row r="869" spans="10:10" x14ac:dyDescent="0.25">
      <c r="J869" s="4"/>
    </row>
    <row r="870" spans="10:10" x14ac:dyDescent="0.25">
      <c r="J870" s="4"/>
    </row>
    <row r="871" spans="10:10" x14ac:dyDescent="0.25">
      <c r="J871" s="4"/>
    </row>
    <row r="872" spans="10:10" x14ac:dyDescent="0.25">
      <c r="J872" s="4"/>
    </row>
    <row r="873" spans="10:10" x14ac:dyDescent="0.25">
      <c r="J873" s="4"/>
    </row>
    <row r="874" spans="10:10" x14ac:dyDescent="0.25">
      <c r="J874" s="4"/>
    </row>
    <row r="875" spans="10:10" x14ac:dyDescent="0.25">
      <c r="J875" s="4"/>
    </row>
    <row r="876" spans="10:10" x14ac:dyDescent="0.25">
      <c r="J876" s="4"/>
    </row>
    <row r="877" spans="10:10" x14ac:dyDescent="0.25">
      <c r="J877" s="4"/>
    </row>
    <row r="878" spans="10:10" x14ac:dyDescent="0.25">
      <c r="J878" s="4"/>
    </row>
    <row r="879" spans="10:10" x14ac:dyDescent="0.25">
      <c r="J879" s="4"/>
    </row>
    <row r="880" spans="10:10" x14ac:dyDescent="0.25">
      <c r="J880" s="4"/>
    </row>
    <row r="881" spans="10:10" x14ac:dyDescent="0.25">
      <c r="J881" s="4"/>
    </row>
    <row r="882" spans="10:10" x14ac:dyDescent="0.25">
      <c r="J882" s="4"/>
    </row>
    <row r="883" spans="10:10" x14ac:dyDescent="0.25">
      <c r="J883" s="4"/>
    </row>
    <row r="884" spans="10:10" x14ac:dyDescent="0.25">
      <c r="J884" s="4"/>
    </row>
    <row r="885" spans="10:10" x14ac:dyDescent="0.25">
      <c r="J885" s="4"/>
    </row>
    <row r="886" spans="10:10" x14ac:dyDescent="0.25">
      <c r="J886" s="4"/>
    </row>
    <row r="887" spans="10:10" x14ac:dyDescent="0.25">
      <c r="J887" s="4"/>
    </row>
    <row r="888" spans="10:10" x14ac:dyDescent="0.25">
      <c r="J888" s="4"/>
    </row>
    <row r="889" spans="10:10" x14ac:dyDescent="0.25">
      <c r="J889" s="4"/>
    </row>
    <row r="890" spans="10:10" x14ac:dyDescent="0.25">
      <c r="J890" s="4"/>
    </row>
    <row r="891" spans="10:10" x14ac:dyDescent="0.25">
      <c r="J891" s="4"/>
    </row>
    <row r="892" spans="10:10" x14ac:dyDescent="0.25">
      <c r="J892" s="4"/>
    </row>
    <row r="893" spans="10:10" x14ac:dyDescent="0.25">
      <c r="J893" s="4"/>
    </row>
    <row r="894" spans="10:10" x14ac:dyDescent="0.25">
      <c r="J894" s="4"/>
    </row>
    <row r="895" spans="10:10" x14ac:dyDescent="0.25">
      <c r="J895" s="4"/>
    </row>
    <row r="896" spans="10:10" x14ac:dyDescent="0.25">
      <c r="J896" s="4"/>
    </row>
    <row r="897" spans="10:10" x14ac:dyDescent="0.25">
      <c r="J897" s="4"/>
    </row>
    <row r="898" spans="10:10" x14ac:dyDescent="0.25">
      <c r="J898" s="4"/>
    </row>
    <row r="899" spans="10:10" x14ac:dyDescent="0.25">
      <c r="J899" s="4"/>
    </row>
    <row r="900" spans="10:10" x14ac:dyDescent="0.25">
      <c r="J900" s="4"/>
    </row>
    <row r="901" spans="10:10" x14ac:dyDescent="0.25">
      <c r="J901" s="4"/>
    </row>
    <row r="902" spans="10:10" x14ac:dyDescent="0.25">
      <c r="J902" s="4"/>
    </row>
    <row r="903" spans="10:10" x14ac:dyDescent="0.25">
      <c r="J903" s="4"/>
    </row>
    <row r="904" spans="10:10" x14ac:dyDescent="0.25">
      <c r="J904" s="4"/>
    </row>
    <row r="905" spans="10:10" x14ac:dyDescent="0.25">
      <c r="J905" s="4"/>
    </row>
    <row r="906" spans="10:10" x14ac:dyDescent="0.25">
      <c r="J906" s="4"/>
    </row>
    <row r="907" spans="10:10" x14ac:dyDescent="0.25">
      <c r="J907" s="4"/>
    </row>
    <row r="908" spans="10:10" x14ac:dyDescent="0.25">
      <c r="J908" s="4"/>
    </row>
    <row r="909" spans="10:10" x14ac:dyDescent="0.25">
      <c r="J909" s="4"/>
    </row>
    <row r="910" spans="10:10" x14ac:dyDescent="0.25">
      <c r="J910" s="4"/>
    </row>
    <row r="911" spans="10:10" x14ac:dyDescent="0.25">
      <c r="J911" s="4"/>
    </row>
    <row r="912" spans="10:10" x14ac:dyDescent="0.25">
      <c r="J912" s="4"/>
    </row>
    <row r="913" spans="10:10" x14ac:dyDescent="0.25">
      <c r="J913" s="4"/>
    </row>
    <row r="914" spans="10:10" x14ac:dyDescent="0.25">
      <c r="J914" s="4"/>
    </row>
    <row r="915" spans="10:10" x14ac:dyDescent="0.25">
      <c r="J915" s="4"/>
    </row>
    <row r="916" spans="10:10" x14ac:dyDescent="0.25">
      <c r="J916" s="4"/>
    </row>
    <row r="917" spans="10:10" x14ac:dyDescent="0.25">
      <c r="J917" s="4"/>
    </row>
    <row r="918" spans="10:10" x14ac:dyDescent="0.25">
      <c r="J918" s="4"/>
    </row>
    <row r="919" spans="10:10" x14ac:dyDescent="0.25">
      <c r="J919" s="4"/>
    </row>
    <row r="920" spans="10:10" x14ac:dyDescent="0.25">
      <c r="J920" s="4"/>
    </row>
    <row r="921" spans="10:10" x14ac:dyDescent="0.25">
      <c r="J921" s="4"/>
    </row>
    <row r="922" spans="10:10" x14ac:dyDescent="0.25">
      <c r="J922" s="4"/>
    </row>
    <row r="923" spans="10:10" x14ac:dyDescent="0.25">
      <c r="J923" s="4"/>
    </row>
    <row r="924" spans="10:10" x14ac:dyDescent="0.25">
      <c r="J924" s="4"/>
    </row>
    <row r="925" spans="10:10" x14ac:dyDescent="0.25">
      <c r="J925" s="4"/>
    </row>
    <row r="926" spans="10:10" x14ac:dyDescent="0.25">
      <c r="J926" s="4"/>
    </row>
    <row r="927" spans="10:10" x14ac:dyDescent="0.25">
      <c r="J927" s="4"/>
    </row>
    <row r="928" spans="10:10" x14ac:dyDescent="0.25">
      <c r="J928" s="4"/>
    </row>
    <row r="929" spans="10:10" x14ac:dyDescent="0.25">
      <c r="J929" s="4"/>
    </row>
    <row r="930" spans="10:10" x14ac:dyDescent="0.25">
      <c r="J930" s="4"/>
    </row>
    <row r="931" spans="10:10" x14ac:dyDescent="0.25">
      <c r="J931" s="4"/>
    </row>
    <row r="932" spans="10:10" x14ac:dyDescent="0.25">
      <c r="J932" s="4"/>
    </row>
    <row r="933" spans="10:10" x14ac:dyDescent="0.25">
      <c r="J933" s="4"/>
    </row>
    <row r="934" spans="10:10" x14ac:dyDescent="0.25">
      <c r="J934" s="4"/>
    </row>
    <row r="935" spans="10:10" x14ac:dyDescent="0.25">
      <c r="J935" s="4"/>
    </row>
    <row r="936" spans="10:10" x14ac:dyDescent="0.25">
      <c r="J936" s="4"/>
    </row>
    <row r="937" spans="10:10" x14ac:dyDescent="0.25">
      <c r="J937" s="4"/>
    </row>
    <row r="938" spans="10:10" x14ac:dyDescent="0.25">
      <c r="J938" s="4"/>
    </row>
    <row r="939" spans="10:10" x14ac:dyDescent="0.25">
      <c r="J939" s="4"/>
    </row>
    <row r="940" spans="10:10" x14ac:dyDescent="0.25">
      <c r="J940" s="4"/>
    </row>
    <row r="941" spans="10:10" x14ac:dyDescent="0.25">
      <c r="J941" s="4"/>
    </row>
    <row r="942" spans="10:10" x14ac:dyDescent="0.25">
      <c r="J942" s="4"/>
    </row>
    <row r="943" spans="10:10" x14ac:dyDescent="0.25">
      <c r="J943" s="4"/>
    </row>
    <row r="944" spans="10:10" x14ac:dyDescent="0.25">
      <c r="J944" s="4"/>
    </row>
    <row r="945" spans="10:10" x14ac:dyDescent="0.25">
      <c r="J945" s="4"/>
    </row>
    <row r="946" spans="10:10" x14ac:dyDescent="0.25">
      <c r="J946" s="4"/>
    </row>
    <row r="947" spans="10:10" x14ac:dyDescent="0.25">
      <c r="J947" s="4"/>
    </row>
    <row r="948" spans="10:10" x14ac:dyDescent="0.25">
      <c r="J948" s="4"/>
    </row>
    <row r="949" spans="10:10" x14ac:dyDescent="0.25">
      <c r="J949" s="4"/>
    </row>
    <row r="950" spans="10:10" x14ac:dyDescent="0.25">
      <c r="J950" s="4"/>
    </row>
    <row r="951" spans="10:10" x14ac:dyDescent="0.25">
      <c r="J951" s="4"/>
    </row>
    <row r="952" spans="10:10" x14ac:dyDescent="0.25">
      <c r="J952" s="4"/>
    </row>
    <row r="953" spans="10:10" x14ac:dyDescent="0.25">
      <c r="J953" s="4"/>
    </row>
    <row r="954" spans="10:10" x14ac:dyDescent="0.25">
      <c r="J954" s="4"/>
    </row>
    <row r="955" spans="10:10" x14ac:dyDescent="0.25">
      <c r="J955" s="4"/>
    </row>
    <row r="956" spans="10:10" x14ac:dyDescent="0.25">
      <c r="J956" s="4"/>
    </row>
    <row r="957" spans="10:10" x14ac:dyDescent="0.25">
      <c r="J957" s="4"/>
    </row>
    <row r="958" spans="10:10" x14ac:dyDescent="0.25">
      <c r="J958" s="4"/>
    </row>
    <row r="959" spans="10:10" x14ac:dyDescent="0.25">
      <c r="J959" s="4"/>
    </row>
    <row r="960" spans="10:10" x14ac:dyDescent="0.25">
      <c r="J960" s="4"/>
    </row>
    <row r="961" spans="10:10" x14ac:dyDescent="0.25">
      <c r="J961" s="4"/>
    </row>
    <row r="962" spans="10:10" x14ac:dyDescent="0.25">
      <c r="J962" s="4"/>
    </row>
    <row r="963" spans="10:10" x14ac:dyDescent="0.25">
      <c r="J963" s="4"/>
    </row>
    <row r="964" spans="10:10" x14ac:dyDescent="0.25">
      <c r="J964" s="4"/>
    </row>
    <row r="965" spans="10:10" x14ac:dyDescent="0.25">
      <c r="J965" s="4"/>
    </row>
    <row r="966" spans="10:10" x14ac:dyDescent="0.25">
      <c r="J966" s="4"/>
    </row>
    <row r="967" spans="10:10" x14ac:dyDescent="0.25">
      <c r="J967" s="4"/>
    </row>
    <row r="968" spans="10:10" x14ac:dyDescent="0.25">
      <c r="J968" s="4"/>
    </row>
    <row r="969" spans="10:10" x14ac:dyDescent="0.25">
      <c r="J969" s="4"/>
    </row>
    <row r="970" spans="10:10" x14ac:dyDescent="0.25">
      <c r="J970" s="4"/>
    </row>
    <row r="971" spans="10:10" x14ac:dyDescent="0.25">
      <c r="J971" s="4"/>
    </row>
    <row r="972" spans="10:10" x14ac:dyDescent="0.25">
      <c r="J972" s="4"/>
    </row>
    <row r="973" spans="10:10" x14ac:dyDescent="0.25">
      <c r="J973" s="4"/>
    </row>
    <row r="974" spans="10:10" x14ac:dyDescent="0.25">
      <c r="J974" s="4"/>
    </row>
    <row r="975" spans="10:10" x14ac:dyDescent="0.25">
      <c r="J975" s="4"/>
    </row>
    <row r="976" spans="10:10" x14ac:dyDescent="0.25">
      <c r="J976" s="4"/>
    </row>
    <row r="977" spans="10:10" x14ac:dyDescent="0.25">
      <c r="J977" s="4"/>
    </row>
    <row r="978" spans="10:10" x14ac:dyDescent="0.25">
      <c r="J978" s="4"/>
    </row>
    <row r="979" spans="10:10" x14ac:dyDescent="0.25">
      <c r="J979" s="4"/>
    </row>
    <row r="980" spans="10:10" x14ac:dyDescent="0.25">
      <c r="J980" s="4"/>
    </row>
    <row r="981" spans="10:10" x14ac:dyDescent="0.25">
      <c r="J981" s="4"/>
    </row>
    <row r="982" spans="10:10" x14ac:dyDescent="0.25">
      <c r="J982" s="4"/>
    </row>
    <row r="983" spans="10:10" x14ac:dyDescent="0.25">
      <c r="J983" s="4"/>
    </row>
    <row r="984" spans="10:10" x14ac:dyDescent="0.25">
      <c r="J984" s="4"/>
    </row>
    <row r="985" spans="10:10" x14ac:dyDescent="0.25">
      <c r="J985" s="4"/>
    </row>
    <row r="986" spans="10:10" x14ac:dyDescent="0.25">
      <c r="J986" s="4"/>
    </row>
    <row r="987" spans="10:10" x14ac:dyDescent="0.25">
      <c r="J987" s="4"/>
    </row>
    <row r="988" spans="10:10" x14ac:dyDescent="0.25">
      <c r="J988" s="4"/>
    </row>
    <row r="989" spans="10:10" x14ac:dyDescent="0.25">
      <c r="J989" s="4"/>
    </row>
    <row r="990" spans="10:10" x14ac:dyDescent="0.25">
      <c r="J990" s="4"/>
    </row>
    <row r="991" spans="10:10" x14ac:dyDescent="0.25">
      <c r="J991" s="4"/>
    </row>
    <row r="992" spans="10:10" x14ac:dyDescent="0.25">
      <c r="J992" s="4"/>
    </row>
    <row r="993" spans="10:10" x14ac:dyDescent="0.25">
      <c r="J993" s="4"/>
    </row>
    <row r="994" spans="10:10" x14ac:dyDescent="0.25">
      <c r="J994" s="4"/>
    </row>
    <row r="995" spans="10:10" x14ac:dyDescent="0.25">
      <c r="J995" s="4"/>
    </row>
    <row r="996" spans="10:10" x14ac:dyDescent="0.25">
      <c r="J996" s="4"/>
    </row>
    <row r="997" spans="10:10" x14ac:dyDescent="0.25">
      <c r="J997" s="4"/>
    </row>
    <row r="998" spans="10:10" x14ac:dyDescent="0.25">
      <c r="J998" s="4"/>
    </row>
    <row r="999" spans="10:10" x14ac:dyDescent="0.25">
      <c r="J999" s="4"/>
    </row>
    <row r="1000" spans="10:10" x14ac:dyDescent="0.25">
      <c r="J10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FormatPr defaultRowHeight="15" outlineLevelRow="0" outlineLevelCol="0" x14ac:dyDescent="55"/>
  <cols>
    <col min="1" max="1" width="11.571428571428571" customWidth="1"/>
    <col min="2" max="2" width="28.285714285714285" customWidth="1"/>
    <col min="3" max="3" width="13.571428571428571" customWidth="1"/>
    <col min="4" max="5" width="9.285714285714286" customWidth="1"/>
    <col min="6" max="6" width="12.285714285714286" customWidth="1"/>
    <col min="7" max="7" width="19.857142857142858" customWidth="1"/>
    <col min="8" max="8" width="9.285714285714286" customWidth="1"/>
    <col min="9" max="9" width="42.142857142857146" customWidth="1"/>
    <col min="10" max="10" width="20.571428571428573" customWidth="1"/>
    <col min="11" max="11" width="19.857142857142858" customWidth="1"/>
    <col min="12" max="12" width="9.285714285714286" customWidth="1"/>
    <col min="13" max="13" width="17.142857142857142" customWidth="1"/>
    <col min="14" max="24" width="13.571428571428571" customWidth="1"/>
  </cols>
  <sheetData>
    <row r="1" spans="1:14" x14ac:dyDescent="0.25">
      <c r="A1" s="1" t="s">
        <v>114</v>
      </c>
      <c r="B1" s="1" t="s">
        <v>115</v>
      </c>
      <c r="C1" t="s">
        <v>116</v>
      </c>
      <c r="D1" s="1" t="s">
        <v>26</v>
      </c>
      <c r="E1" s="1" t="s">
        <v>117</v>
      </c>
      <c r="F1" s="1" t="s">
        <v>37</v>
      </c>
      <c r="G1" s="1" t="s">
        <v>38</v>
      </c>
      <c r="H1" s="1" t="s">
        <v>110</v>
      </c>
      <c r="I1" s="4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5">
      <c r="A2" s="1">
        <v>1</v>
      </c>
      <c r="B2" s="1" t="s">
        <v>124</v>
      </c>
      <c r="C2" t="s">
        <v>125</v>
      </c>
      <c r="F2" t="s">
        <v>126</v>
      </c>
      <c r="G2" t="s">
        <v>127</v>
      </c>
      <c r="I2" s="5" t="s">
        <v>128</v>
      </c>
      <c r="J2" t="s">
        <v>129</v>
      </c>
      <c r="K2" t="s">
        <v>130</v>
      </c>
      <c r="L2" t="s">
        <v>131</v>
      </c>
      <c r="M2" s="1" t="s">
        <v>132</v>
      </c>
      <c r="N2" s="1" t="s">
        <v>132</v>
      </c>
    </row>
    <row r="3" spans="1:14" x14ac:dyDescent="0.25">
      <c r="A3" s="1">
        <v>2</v>
      </c>
      <c r="B3" s="1" t="s">
        <v>133</v>
      </c>
      <c r="C3" t="s">
        <v>125</v>
      </c>
      <c r="F3" t="s">
        <v>126</v>
      </c>
      <c r="G3" t="s">
        <v>127</v>
      </c>
      <c r="I3" s="4" t="s">
        <v>134</v>
      </c>
      <c r="J3" t="s">
        <v>129</v>
      </c>
      <c r="K3" t="s">
        <v>130</v>
      </c>
      <c r="L3" t="s">
        <v>131</v>
      </c>
      <c r="M3" s="1" t="s">
        <v>132</v>
      </c>
      <c r="N3" s="1" t="s">
        <v>132</v>
      </c>
    </row>
    <row r="4" spans="1:14" x14ac:dyDescent="0.25">
      <c r="A4" s="1">
        <v>3</v>
      </c>
      <c r="B4" s="1" t="s">
        <v>135</v>
      </c>
      <c r="C4" t="s">
        <v>125</v>
      </c>
      <c r="F4" t="s">
        <v>126</v>
      </c>
      <c r="G4" t="s">
        <v>127</v>
      </c>
      <c r="I4" s="4" t="s">
        <v>136</v>
      </c>
      <c r="J4" t="s">
        <v>129</v>
      </c>
      <c r="K4" t="s">
        <v>130</v>
      </c>
      <c r="L4" t="s">
        <v>131</v>
      </c>
      <c r="M4" s="1" t="s">
        <v>132</v>
      </c>
      <c r="N4" s="1" t="s">
        <v>132</v>
      </c>
    </row>
    <row r="5" spans="1:14" x14ac:dyDescent="0.25">
      <c r="A5" s="1">
        <v>4</v>
      </c>
      <c r="B5" s="1" t="s">
        <v>137</v>
      </c>
      <c r="C5" t="s">
        <v>125</v>
      </c>
      <c r="F5" t="s">
        <v>126</v>
      </c>
      <c r="G5" t="s">
        <v>127</v>
      </c>
      <c r="I5" s="4" t="s">
        <v>136</v>
      </c>
      <c r="J5" t="s">
        <v>129</v>
      </c>
      <c r="K5" t="s">
        <v>130</v>
      </c>
      <c r="L5" t="s">
        <v>131</v>
      </c>
      <c r="M5" s="1" t="s">
        <v>132</v>
      </c>
      <c r="N5" s="1" t="s">
        <v>132</v>
      </c>
    </row>
    <row r="6" spans="1:14" x14ac:dyDescent="0.25">
      <c r="A6" s="1">
        <v>5</v>
      </c>
      <c r="B6" s="1" t="s">
        <v>138</v>
      </c>
      <c r="C6" t="s">
        <v>125</v>
      </c>
      <c r="F6" t="s">
        <v>126</v>
      </c>
      <c r="G6" t="s">
        <v>127</v>
      </c>
      <c r="I6" s="4" t="s">
        <v>136</v>
      </c>
      <c r="J6" t="s">
        <v>129</v>
      </c>
      <c r="K6" t="s">
        <v>130</v>
      </c>
      <c r="L6" t="s">
        <v>131</v>
      </c>
      <c r="M6" s="1" t="s">
        <v>132</v>
      </c>
      <c r="N6" s="1" t="s">
        <v>132</v>
      </c>
    </row>
    <row r="7" spans="1:14" x14ac:dyDescent="0.25">
      <c r="A7" s="1">
        <v>6</v>
      </c>
      <c r="B7" s="1" t="s">
        <v>139</v>
      </c>
      <c r="C7" t="s">
        <v>125</v>
      </c>
      <c r="F7" t="s">
        <v>126</v>
      </c>
      <c r="G7" t="s">
        <v>127</v>
      </c>
      <c r="I7" s="4" t="s">
        <v>136</v>
      </c>
      <c r="J7" t="s">
        <v>129</v>
      </c>
      <c r="K7" t="s">
        <v>130</v>
      </c>
      <c r="L7" t="s">
        <v>131</v>
      </c>
      <c r="M7" s="1" t="s">
        <v>132</v>
      </c>
      <c r="N7" s="1" t="s">
        <v>132</v>
      </c>
    </row>
    <row r="8" spans="1:14" x14ac:dyDescent="0.25">
      <c r="A8" s="1">
        <v>7</v>
      </c>
      <c r="B8" s="1" t="s">
        <v>140</v>
      </c>
      <c r="C8" t="s">
        <v>125</v>
      </c>
      <c r="F8" t="s">
        <v>126</v>
      </c>
      <c r="G8" t="s">
        <v>127</v>
      </c>
      <c r="I8" s="4" t="s">
        <v>136</v>
      </c>
      <c r="J8" t="s">
        <v>129</v>
      </c>
      <c r="K8" t="s">
        <v>130</v>
      </c>
      <c r="L8" t="s">
        <v>131</v>
      </c>
      <c r="M8" s="1" t="s">
        <v>132</v>
      </c>
      <c r="N8" s="1" t="s">
        <v>132</v>
      </c>
    </row>
    <row r="9" spans="1:14" x14ac:dyDescent="0.25">
      <c r="A9" s="1">
        <v>8</v>
      </c>
      <c r="B9" s="1" t="s">
        <v>141</v>
      </c>
      <c r="C9" t="s">
        <v>125</v>
      </c>
      <c r="F9" t="s">
        <v>126</v>
      </c>
      <c r="G9" t="s">
        <v>127</v>
      </c>
      <c r="I9" s="4" t="s">
        <v>136</v>
      </c>
      <c r="J9" t="s">
        <v>129</v>
      </c>
      <c r="K9" t="s">
        <v>130</v>
      </c>
      <c r="L9" t="s">
        <v>131</v>
      </c>
      <c r="M9" s="1" t="s">
        <v>132</v>
      </c>
      <c r="N9" s="1" t="s">
        <v>132</v>
      </c>
    </row>
    <row r="10" spans="1:14" x14ac:dyDescent="0.25">
      <c r="A10" s="1">
        <v>9</v>
      </c>
      <c r="B10" s="1" t="s">
        <v>142</v>
      </c>
      <c r="C10" t="s">
        <v>125</v>
      </c>
      <c r="F10" t="s">
        <v>126</v>
      </c>
      <c r="G10" t="s">
        <v>127</v>
      </c>
      <c r="I10" s="4" t="s">
        <v>136</v>
      </c>
      <c r="J10" t="s">
        <v>129</v>
      </c>
      <c r="K10" t="s">
        <v>130</v>
      </c>
      <c r="L10" t="s">
        <v>131</v>
      </c>
      <c r="M10" s="1" t="s">
        <v>132</v>
      </c>
      <c r="N10" s="1" t="s">
        <v>132</v>
      </c>
    </row>
    <row r="11" spans="1:14" x14ac:dyDescent="0.25">
      <c r="A11" s="1">
        <v>10</v>
      </c>
      <c r="B11" s="1" t="s">
        <v>143</v>
      </c>
      <c r="C11" t="s">
        <v>125</v>
      </c>
      <c r="F11" t="s">
        <v>126</v>
      </c>
      <c r="G11" t="s">
        <v>127</v>
      </c>
      <c r="I11" s="4" t="s">
        <v>136</v>
      </c>
      <c r="J11" t="s">
        <v>129</v>
      </c>
      <c r="K11" t="s">
        <v>130</v>
      </c>
      <c r="L11" t="s">
        <v>131</v>
      </c>
      <c r="M11" s="1" t="s">
        <v>132</v>
      </c>
      <c r="N11" s="1" t="s">
        <v>132</v>
      </c>
    </row>
    <row r="12" spans="1:14" x14ac:dyDescent="0.25">
      <c r="A12" s="1">
        <v>11</v>
      </c>
      <c r="B12" s="1" t="s">
        <v>144</v>
      </c>
      <c r="C12" t="s">
        <v>125</v>
      </c>
      <c r="F12" t="s">
        <v>126</v>
      </c>
      <c r="G12" t="s">
        <v>127</v>
      </c>
      <c r="I12" s="4" t="s">
        <v>136</v>
      </c>
      <c r="J12" t="s">
        <v>129</v>
      </c>
      <c r="K12" t="s">
        <v>130</v>
      </c>
      <c r="L12" t="s">
        <v>131</v>
      </c>
      <c r="M12" s="1" t="s">
        <v>132</v>
      </c>
      <c r="N12" s="1" t="s">
        <v>132</v>
      </c>
    </row>
    <row r="13" spans="1:14" x14ac:dyDescent="0.25">
      <c r="A13" s="1">
        <v>12</v>
      </c>
      <c r="B13" s="1" t="s">
        <v>145</v>
      </c>
      <c r="C13" t="s">
        <v>125</v>
      </c>
      <c r="F13" t="s">
        <v>126</v>
      </c>
      <c r="G13" t="s">
        <v>127</v>
      </c>
      <c r="I13" s="4" t="s">
        <v>136</v>
      </c>
      <c r="J13" t="s">
        <v>129</v>
      </c>
      <c r="K13" t="s">
        <v>130</v>
      </c>
      <c r="L13" t="s">
        <v>131</v>
      </c>
      <c r="M13" s="1" t="s">
        <v>132</v>
      </c>
      <c r="N13" s="1" t="s">
        <v>132</v>
      </c>
    </row>
    <row r="14" spans="1:14" x14ac:dyDescent="0.25">
      <c r="A14" s="1">
        <v>13</v>
      </c>
      <c r="B14" s="1" t="s">
        <v>146</v>
      </c>
      <c r="C14" t="s">
        <v>125</v>
      </c>
      <c r="F14" t="s">
        <v>126</v>
      </c>
      <c r="G14" t="s">
        <v>127</v>
      </c>
      <c r="I14" s="4" t="s">
        <v>136</v>
      </c>
      <c r="J14" t="s">
        <v>129</v>
      </c>
      <c r="K14" t="s">
        <v>130</v>
      </c>
      <c r="L14" t="s">
        <v>131</v>
      </c>
      <c r="M14" s="1" t="s">
        <v>132</v>
      </c>
      <c r="N14" s="1" t="s">
        <v>132</v>
      </c>
    </row>
    <row r="15" spans="1:14" x14ac:dyDescent="0.25">
      <c r="A15" s="1">
        <v>14</v>
      </c>
      <c r="B15" s="1" t="s">
        <v>147</v>
      </c>
      <c r="C15" t="s">
        <v>125</v>
      </c>
      <c r="F15" t="s">
        <v>126</v>
      </c>
      <c r="G15" t="s">
        <v>127</v>
      </c>
      <c r="I15" s="4" t="s">
        <v>136</v>
      </c>
      <c r="J15" t="s">
        <v>129</v>
      </c>
      <c r="K15" t="s">
        <v>130</v>
      </c>
      <c r="L15" t="s">
        <v>131</v>
      </c>
      <c r="M15" s="1" t="s">
        <v>132</v>
      </c>
      <c r="N15" s="1" t="s">
        <v>132</v>
      </c>
    </row>
    <row r="16" spans="1:14" x14ac:dyDescent="0.25">
      <c r="A16" s="1">
        <v>15</v>
      </c>
      <c r="B16" s="1" t="s">
        <v>148</v>
      </c>
      <c r="C16" t="s">
        <v>125</v>
      </c>
      <c r="F16" t="s">
        <v>126</v>
      </c>
      <c r="G16" t="s">
        <v>127</v>
      </c>
      <c r="I16" s="4" t="s">
        <v>136</v>
      </c>
      <c r="J16" t="s">
        <v>129</v>
      </c>
      <c r="K16" t="s">
        <v>130</v>
      </c>
      <c r="L16" t="s">
        <v>131</v>
      </c>
      <c r="M16" s="1" t="s">
        <v>132</v>
      </c>
      <c r="N16" s="1" t="s">
        <v>132</v>
      </c>
    </row>
    <row r="17" spans="1:14" x14ac:dyDescent="0.25">
      <c r="A17" s="1">
        <v>16</v>
      </c>
      <c r="B17" s="1" t="s">
        <v>149</v>
      </c>
      <c r="C17" t="s">
        <v>125</v>
      </c>
      <c r="F17" t="s">
        <v>126</v>
      </c>
      <c r="G17" t="s">
        <v>127</v>
      </c>
      <c r="I17" s="4" t="s">
        <v>136</v>
      </c>
      <c r="J17" t="s">
        <v>129</v>
      </c>
      <c r="K17" t="s">
        <v>130</v>
      </c>
      <c r="L17" t="s">
        <v>131</v>
      </c>
      <c r="M17" s="1" t="s">
        <v>132</v>
      </c>
      <c r="N17" s="1" t="s">
        <v>132</v>
      </c>
    </row>
    <row r="36" spans="9:9" x14ac:dyDescent="0.25">
      <c r="I36" s="4"/>
    </row>
    <row r="37" spans="9:9" x14ac:dyDescent="0.25">
      <c r="I37" s="4"/>
    </row>
    <row r="38" spans="9:9" x14ac:dyDescent="0.25">
      <c r="I38" s="4"/>
    </row>
    <row r="39" spans="9:9" x14ac:dyDescent="0.25">
      <c r="I39" s="4"/>
    </row>
    <row r="40" spans="9:9" x14ac:dyDescent="0.25">
      <c r="I40" s="4"/>
    </row>
    <row r="41" spans="9:9" x14ac:dyDescent="0.25">
      <c r="I41" s="4"/>
    </row>
    <row r="42" spans="9:9" x14ac:dyDescent="0.25">
      <c r="I42" s="4"/>
    </row>
    <row r="43" spans="9:9" x14ac:dyDescent="0.25">
      <c r="I43" s="4"/>
    </row>
    <row r="44" spans="9:9" x14ac:dyDescent="0.25">
      <c r="I44" s="4"/>
    </row>
    <row r="45" spans="9:9" x14ac:dyDescent="0.25">
      <c r="I45" s="4"/>
    </row>
    <row r="46" spans="9:9" x14ac:dyDescent="0.25">
      <c r="I46" s="4"/>
    </row>
    <row r="47" spans="9:9" x14ac:dyDescent="0.25">
      <c r="I47" s="4"/>
    </row>
    <row r="48" spans="9:9" x14ac:dyDescent="0.25">
      <c r="I48" s="4"/>
    </row>
    <row r="49" spans="9:9" x14ac:dyDescent="0.25">
      <c r="I49" s="4"/>
    </row>
    <row r="50" spans="9:9" x14ac:dyDescent="0.25">
      <c r="I50" s="4"/>
    </row>
    <row r="51" spans="9:9" x14ac:dyDescent="0.25">
      <c r="I51" s="4"/>
    </row>
    <row r="52" spans="9:9" x14ac:dyDescent="0.25">
      <c r="I52" s="4"/>
    </row>
    <row r="53" spans="9:9" x14ac:dyDescent="0.25">
      <c r="I53" s="4"/>
    </row>
    <row r="54" spans="9:9" x14ac:dyDescent="0.25">
      <c r="I54" s="4"/>
    </row>
    <row r="55" spans="9:9" x14ac:dyDescent="0.25">
      <c r="I55" s="4"/>
    </row>
    <row r="56" spans="9:9" x14ac:dyDescent="0.25">
      <c r="I56" s="4"/>
    </row>
    <row r="57" spans="9:9" x14ac:dyDescent="0.25">
      <c r="I57" s="4"/>
    </row>
    <row r="58" spans="9:9" x14ac:dyDescent="0.25">
      <c r="I58" s="4"/>
    </row>
    <row r="59" spans="9:9" x14ac:dyDescent="0.25">
      <c r="I59" s="4"/>
    </row>
    <row r="60" spans="9:9" x14ac:dyDescent="0.25">
      <c r="I60" s="4"/>
    </row>
    <row r="61" spans="9:9" x14ac:dyDescent="0.25">
      <c r="I61" s="4"/>
    </row>
    <row r="62" spans="9:9" x14ac:dyDescent="0.25">
      <c r="I62" s="4"/>
    </row>
    <row r="63" spans="9:9" x14ac:dyDescent="0.25">
      <c r="I63" s="4"/>
    </row>
    <row r="64" spans="9:9" x14ac:dyDescent="0.25">
      <c r="I64" s="4"/>
    </row>
    <row r="65" spans="9:9" x14ac:dyDescent="0.25">
      <c r="I65" s="4"/>
    </row>
    <row r="66" spans="9:9" x14ac:dyDescent="0.25">
      <c r="I66" s="4"/>
    </row>
    <row r="67" spans="9:9" x14ac:dyDescent="0.25">
      <c r="I67" s="4"/>
    </row>
    <row r="68" spans="9:9" x14ac:dyDescent="0.25">
      <c r="I68" s="4"/>
    </row>
    <row r="69" spans="9:9" x14ac:dyDescent="0.25">
      <c r="I69" s="4"/>
    </row>
    <row r="70" spans="9:9" x14ac:dyDescent="0.25">
      <c r="I70" s="4"/>
    </row>
    <row r="71" spans="9:9" x14ac:dyDescent="0.25">
      <c r="I71" s="4"/>
    </row>
    <row r="72" spans="9:9" x14ac:dyDescent="0.25">
      <c r="I72" s="4"/>
    </row>
    <row r="73" spans="9:9" x14ac:dyDescent="0.25">
      <c r="I73" s="4"/>
    </row>
    <row r="74" spans="9:9" x14ac:dyDescent="0.25">
      <c r="I74" s="4"/>
    </row>
    <row r="75" spans="9:9" x14ac:dyDescent="0.25">
      <c r="I75" s="4"/>
    </row>
    <row r="76" spans="9:9" x14ac:dyDescent="0.25">
      <c r="I76" s="4"/>
    </row>
    <row r="77" spans="9:9" x14ac:dyDescent="0.25">
      <c r="I77" s="4"/>
    </row>
    <row r="78" spans="9:9" x14ac:dyDescent="0.25">
      <c r="I78" s="4"/>
    </row>
    <row r="79" spans="9:9" x14ac:dyDescent="0.25">
      <c r="I79" s="4"/>
    </row>
    <row r="80" spans="9:9" x14ac:dyDescent="0.25">
      <c r="I80" s="4"/>
    </row>
    <row r="81" spans="9:9" x14ac:dyDescent="0.25">
      <c r="I81" s="4"/>
    </row>
    <row r="82" spans="9:9" x14ac:dyDescent="0.25">
      <c r="I82" s="4"/>
    </row>
    <row r="83" spans="9:9" x14ac:dyDescent="0.25">
      <c r="I83" s="4"/>
    </row>
    <row r="84" spans="9:9" x14ac:dyDescent="0.25">
      <c r="I84" s="4"/>
    </row>
    <row r="85" spans="9:9" x14ac:dyDescent="0.25">
      <c r="I85" s="4"/>
    </row>
    <row r="86" spans="9:9" x14ac:dyDescent="0.25">
      <c r="I86" s="4"/>
    </row>
    <row r="87" spans="9:9" x14ac:dyDescent="0.25">
      <c r="I87" s="4"/>
    </row>
    <row r="88" spans="9:9" x14ac:dyDescent="0.25">
      <c r="I88" s="4"/>
    </row>
    <row r="89" spans="9:9" x14ac:dyDescent="0.25">
      <c r="I89" s="4"/>
    </row>
    <row r="90" spans="9:9" x14ac:dyDescent="0.25">
      <c r="I90" s="4"/>
    </row>
    <row r="91" spans="9:9" x14ac:dyDescent="0.25">
      <c r="I91" s="4"/>
    </row>
    <row r="92" spans="9:9" x14ac:dyDescent="0.25">
      <c r="I92" s="4"/>
    </row>
    <row r="93" spans="9:9" x14ac:dyDescent="0.25">
      <c r="I93" s="4"/>
    </row>
    <row r="94" spans="9:9" x14ac:dyDescent="0.25">
      <c r="I94" s="4"/>
    </row>
    <row r="95" spans="9:9" x14ac:dyDescent="0.25">
      <c r="I95" s="4"/>
    </row>
    <row r="96" spans="9:9" x14ac:dyDescent="0.25">
      <c r="I96" s="4"/>
    </row>
    <row r="97" spans="9:9" x14ac:dyDescent="0.25">
      <c r="I97" s="4"/>
    </row>
    <row r="98" spans="9:9" x14ac:dyDescent="0.25">
      <c r="I98" s="4"/>
    </row>
    <row r="99" spans="9:9" x14ac:dyDescent="0.25">
      <c r="I99" s="4"/>
    </row>
    <row r="100" spans="9:9" x14ac:dyDescent="0.25">
      <c r="I100" s="4"/>
    </row>
    <row r="101" spans="9:9" x14ac:dyDescent="0.25">
      <c r="I101" s="4"/>
    </row>
    <row r="102" spans="9:9" x14ac:dyDescent="0.25">
      <c r="I102" s="4"/>
    </row>
    <row r="103" spans="9:9" x14ac:dyDescent="0.25">
      <c r="I103" s="4"/>
    </row>
    <row r="104" spans="9:9" x14ac:dyDescent="0.25">
      <c r="I104" s="4"/>
    </row>
    <row r="105" spans="9:9" x14ac:dyDescent="0.25">
      <c r="I105" s="4"/>
    </row>
    <row r="106" spans="9:9" x14ac:dyDescent="0.25">
      <c r="I106" s="4"/>
    </row>
    <row r="107" spans="9:9" x14ac:dyDescent="0.25">
      <c r="I107" s="4"/>
    </row>
    <row r="108" spans="9:9" x14ac:dyDescent="0.25">
      <c r="I108" s="4"/>
    </row>
    <row r="109" spans="9:9" x14ac:dyDescent="0.25">
      <c r="I109" s="4"/>
    </row>
    <row r="110" spans="9:9" x14ac:dyDescent="0.25">
      <c r="I110" s="4"/>
    </row>
    <row r="111" spans="9:9" x14ac:dyDescent="0.25">
      <c r="I111" s="4"/>
    </row>
    <row r="112" spans="9:9" x14ac:dyDescent="0.25">
      <c r="I112" s="4"/>
    </row>
    <row r="113" spans="9:9" x14ac:dyDescent="0.25">
      <c r="I113" s="4"/>
    </row>
    <row r="114" spans="9:9" x14ac:dyDescent="0.25">
      <c r="I114" s="4"/>
    </row>
    <row r="115" spans="9:9" x14ac:dyDescent="0.25">
      <c r="I115" s="4"/>
    </row>
    <row r="116" spans="9:9" x14ac:dyDescent="0.25">
      <c r="I116" s="4"/>
    </row>
    <row r="117" spans="9:9" x14ac:dyDescent="0.25">
      <c r="I117" s="4"/>
    </row>
    <row r="118" spans="9:9" x14ac:dyDescent="0.25">
      <c r="I118" s="4"/>
    </row>
    <row r="119" spans="9:9" x14ac:dyDescent="0.25">
      <c r="I119" s="4"/>
    </row>
    <row r="120" spans="9:9" x14ac:dyDescent="0.25">
      <c r="I120" s="4"/>
    </row>
    <row r="121" spans="9:9" x14ac:dyDescent="0.25">
      <c r="I121" s="4"/>
    </row>
    <row r="122" spans="9:9" x14ac:dyDescent="0.25">
      <c r="I122" s="4"/>
    </row>
    <row r="123" spans="9:9" x14ac:dyDescent="0.25">
      <c r="I123" s="4"/>
    </row>
    <row r="124" spans="9:9" x14ac:dyDescent="0.25">
      <c r="I124" s="4"/>
    </row>
    <row r="125" spans="9:9" x14ac:dyDescent="0.25">
      <c r="I125" s="4"/>
    </row>
    <row r="126" spans="9:9" x14ac:dyDescent="0.25">
      <c r="I126" s="4"/>
    </row>
    <row r="127" spans="9:9" x14ac:dyDescent="0.25">
      <c r="I127" s="4"/>
    </row>
    <row r="128" spans="9:9" x14ac:dyDescent="0.25">
      <c r="I128" s="4"/>
    </row>
    <row r="129" spans="9:9" x14ac:dyDescent="0.25">
      <c r="I129" s="4"/>
    </row>
    <row r="130" spans="9:9" x14ac:dyDescent="0.25">
      <c r="I130" s="4"/>
    </row>
    <row r="131" spans="9:9" x14ac:dyDescent="0.25">
      <c r="I131" s="4"/>
    </row>
    <row r="132" spans="9:9" x14ac:dyDescent="0.25">
      <c r="I132" s="4"/>
    </row>
    <row r="133" spans="9:9" x14ac:dyDescent="0.25">
      <c r="I133" s="4"/>
    </row>
    <row r="134" spans="9:9" x14ac:dyDescent="0.25">
      <c r="I134" s="4"/>
    </row>
    <row r="135" spans="9:9" x14ac:dyDescent="0.25">
      <c r="I135" s="4"/>
    </row>
    <row r="136" spans="9:9" x14ac:dyDescent="0.25">
      <c r="I136" s="4"/>
    </row>
    <row r="137" spans="9:9" x14ac:dyDescent="0.25">
      <c r="I137" s="4"/>
    </row>
    <row r="138" spans="9:9" x14ac:dyDescent="0.25">
      <c r="I138" s="4"/>
    </row>
    <row r="139" spans="9:9" x14ac:dyDescent="0.25">
      <c r="I139" s="4"/>
    </row>
    <row r="140" spans="9:9" x14ac:dyDescent="0.25">
      <c r="I140" s="4"/>
    </row>
    <row r="141" spans="9:9" x14ac:dyDescent="0.25">
      <c r="I141" s="4"/>
    </row>
    <row r="142" spans="9:9" x14ac:dyDescent="0.25">
      <c r="I142" s="4"/>
    </row>
    <row r="143" spans="9:9" x14ac:dyDescent="0.25">
      <c r="I143" s="4"/>
    </row>
    <row r="144" spans="9:9" x14ac:dyDescent="0.25">
      <c r="I144" s="4"/>
    </row>
    <row r="145" spans="9:9" x14ac:dyDescent="0.25">
      <c r="I145" s="4"/>
    </row>
    <row r="146" spans="9:9" x14ac:dyDescent="0.25">
      <c r="I146" s="4"/>
    </row>
    <row r="147" spans="9:9" x14ac:dyDescent="0.25">
      <c r="I147" s="4"/>
    </row>
    <row r="148" spans="9:9" x14ac:dyDescent="0.25">
      <c r="I148" s="4"/>
    </row>
    <row r="149" spans="9:9" x14ac:dyDescent="0.25">
      <c r="I149" s="4"/>
    </row>
    <row r="150" spans="9:9" x14ac:dyDescent="0.25">
      <c r="I150" s="4"/>
    </row>
    <row r="151" spans="9:9" x14ac:dyDescent="0.25">
      <c r="I151" s="4"/>
    </row>
    <row r="152" spans="9:9" x14ac:dyDescent="0.25">
      <c r="I152" s="4"/>
    </row>
    <row r="153" spans="9:9" x14ac:dyDescent="0.25">
      <c r="I153" s="4"/>
    </row>
    <row r="154" spans="9:9" x14ac:dyDescent="0.25">
      <c r="I154" s="4"/>
    </row>
    <row r="155" spans="9:9" x14ac:dyDescent="0.25">
      <c r="I155" s="4"/>
    </row>
    <row r="156" spans="9:9" x14ac:dyDescent="0.25">
      <c r="I156" s="4"/>
    </row>
    <row r="157" spans="9:9" x14ac:dyDescent="0.25">
      <c r="I157" s="4"/>
    </row>
    <row r="158" spans="9:9" x14ac:dyDescent="0.25">
      <c r="I158" s="4"/>
    </row>
    <row r="159" spans="9:9" x14ac:dyDescent="0.25">
      <c r="I159" s="4"/>
    </row>
    <row r="160" spans="9:9" x14ac:dyDescent="0.25">
      <c r="I160" s="4"/>
    </row>
    <row r="161" spans="9:9" x14ac:dyDescent="0.25">
      <c r="I161" s="4"/>
    </row>
    <row r="162" spans="9:9" x14ac:dyDescent="0.25">
      <c r="I162" s="4"/>
    </row>
    <row r="163" spans="9:9" x14ac:dyDescent="0.25">
      <c r="I163" s="4"/>
    </row>
    <row r="164" spans="9:9" x14ac:dyDescent="0.25">
      <c r="I164" s="4"/>
    </row>
    <row r="165" spans="9:9" x14ac:dyDescent="0.25">
      <c r="I165" s="4"/>
    </row>
    <row r="166" spans="9:9" x14ac:dyDescent="0.25">
      <c r="I166" s="4"/>
    </row>
    <row r="167" spans="9:9" x14ac:dyDescent="0.25">
      <c r="I167" s="4"/>
    </row>
    <row r="168" spans="9:9" x14ac:dyDescent="0.25">
      <c r="I168" s="4"/>
    </row>
    <row r="169" spans="9:9" x14ac:dyDescent="0.25">
      <c r="I169" s="4"/>
    </row>
    <row r="170" spans="9:9" x14ac:dyDescent="0.25">
      <c r="I170" s="4"/>
    </row>
    <row r="171" spans="9:9" x14ac:dyDescent="0.25">
      <c r="I171" s="4"/>
    </row>
    <row r="172" spans="9:9" x14ac:dyDescent="0.25">
      <c r="I172" s="4"/>
    </row>
    <row r="173" spans="9:9" x14ac:dyDescent="0.25">
      <c r="I173" s="4"/>
    </row>
    <row r="174" spans="9:9" x14ac:dyDescent="0.25">
      <c r="I174" s="4"/>
    </row>
    <row r="175" spans="9:9" x14ac:dyDescent="0.25">
      <c r="I175" s="4"/>
    </row>
    <row r="176" spans="9:9" x14ac:dyDescent="0.25">
      <c r="I176" s="4"/>
    </row>
    <row r="177" spans="9:9" x14ac:dyDescent="0.25">
      <c r="I177" s="4"/>
    </row>
    <row r="178" spans="9:9" x14ac:dyDescent="0.25">
      <c r="I178" s="4"/>
    </row>
    <row r="179" spans="9:9" x14ac:dyDescent="0.25">
      <c r="I179" s="4"/>
    </row>
    <row r="180" spans="9:9" x14ac:dyDescent="0.25">
      <c r="I180" s="4"/>
    </row>
    <row r="181" spans="9:9" x14ac:dyDescent="0.25">
      <c r="I181" s="4"/>
    </row>
    <row r="182" spans="9:9" x14ac:dyDescent="0.25">
      <c r="I182" s="4"/>
    </row>
    <row r="183" spans="9:9" x14ac:dyDescent="0.25">
      <c r="I183" s="4"/>
    </row>
    <row r="184" spans="9:9" x14ac:dyDescent="0.25">
      <c r="I184" s="4"/>
    </row>
    <row r="185" spans="9:9" x14ac:dyDescent="0.25">
      <c r="I185" s="4"/>
    </row>
    <row r="186" spans="9:9" x14ac:dyDescent="0.25">
      <c r="I186" s="4"/>
    </row>
    <row r="187" spans="9:9" x14ac:dyDescent="0.25">
      <c r="I187" s="4"/>
    </row>
    <row r="188" spans="9:9" x14ac:dyDescent="0.25">
      <c r="I188" s="4"/>
    </row>
    <row r="189" spans="9:9" x14ac:dyDescent="0.25">
      <c r="I189" s="4"/>
    </row>
    <row r="190" spans="9:9" x14ac:dyDescent="0.25">
      <c r="I190" s="4"/>
    </row>
    <row r="191" spans="9:9" x14ac:dyDescent="0.25">
      <c r="I191" s="4"/>
    </row>
    <row r="192" spans="9:9" x14ac:dyDescent="0.25">
      <c r="I192" s="4"/>
    </row>
    <row r="193" spans="9:9" x14ac:dyDescent="0.25">
      <c r="I193" s="4"/>
    </row>
    <row r="194" spans="9:9" x14ac:dyDescent="0.25">
      <c r="I194" s="4"/>
    </row>
    <row r="195" spans="9:9" x14ac:dyDescent="0.25">
      <c r="I195" s="4"/>
    </row>
    <row r="196" spans="9:9" x14ac:dyDescent="0.25">
      <c r="I196" s="4"/>
    </row>
    <row r="197" spans="9:9" x14ac:dyDescent="0.25">
      <c r="I197" s="4"/>
    </row>
    <row r="198" spans="9:9" x14ac:dyDescent="0.25">
      <c r="I198" s="4"/>
    </row>
    <row r="199" spans="9:9" x14ac:dyDescent="0.25">
      <c r="I199" s="4"/>
    </row>
    <row r="200" spans="9:9" x14ac:dyDescent="0.25">
      <c r="I200" s="4"/>
    </row>
    <row r="201" spans="9:9" x14ac:dyDescent="0.25">
      <c r="I201" s="4"/>
    </row>
    <row r="202" spans="9:9" x14ac:dyDescent="0.25">
      <c r="I202" s="4"/>
    </row>
    <row r="203" spans="9:9" x14ac:dyDescent="0.25">
      <c r="I203" s="4"/>
    </row>
    <row r="204" spans="9:9" x14ac:dyDescent="0.25">
      <c r="I204" s="4"/>
    </row>
    <row r="205" spans="9:9" x14ac:dyDescent="0.25">
      <c r="I205" s="4"/>
    </row>
    <row r="206" spans="9:9" x14ac:dyDescent="0.25">
      <c r="I206" s="4"/>
    </row>
    <row r="207" spans="9:9" x14ac:dyDescent="0.25">
      <c r="I207" s="4"/>
    </row>
    <row r="208" spans="9:9" x14ac:dyDescent="0.25">
      <c r="I208" s="4"/>
    </row>
    <row r="209" spans="9:9" x14ac:dyDescent="0.25">
      <c r="I209" s="4"/>
    </row>
    <row r="210" spans="9:9" x14ac:dyDescent="0.25">
      <c r="I210" s="4"/>
    </row>
    <row r="211" spans="9:9" x14ac:dyDescent="0.25">
      <c r="I211" s="4"/>
    </row>
    <row r="212" spans="9:9" x14ac:dyDescent="0.25">
      <c r="I212" s="4"/>
    </row>
    <row r="213" spans="9:9" x14ac:dyDescent="0.25">
      <c r="I213" s="4"/>
    </row>
    <row r="214" spans="9:9" x14ac:dyDescent="0.25">
      <c r="I214" s="4"/>
    </row>
    <row r="215" spans="9:9" x14ac:dyDescent="0.25">
      <c r="I215" s="4"/>
    </row>
    <row r="216" spans="9:9" x14ac:dyDescent="0.25">
      <c r="I216" s="4"/>
    </row>
    <row r="217" spans="9:9" x14ac:dyDescent="0.25">
      <c r="I217" s="4"/>
    </row>
    <row r="218" spans="9:9" x14ac:dyDescent="0.25">
      <c r="I218" s="4"/>
    </row>
    <row r="219" spans="9:9" x14ac:dyDescent="0.25">
      <c r="I219" s="4"/>
    </row>
    <row r="220" spans="9:9" x14ac:dyDescent="0.25">
      <c r="I220" s="4"/>
    </row>
    <row r="221" spans="9:9" x14ac:dyDescent="0.25">
      <c r="I221" s="4"/>
    </row>
    <row r="222" spans="9:9" x14ac:dyDescent="0.25">
      <c r="I222" s="4"/>
    </row>
    <row r="223" spans="9:9" x14ac:dyDescent="0.25">
      <c r="I223" s="4"/>
    </row>
    <row r="224" spans="9:9" x14ac:dyDescent="0.25">
      <c r="I224" s="4"/>
    </row>
    <row r="225" spans="9:9" x14ac:dyDescent="0.25">
      <c r="I225" s="4"/>
    </row>
    <row r="226" spans="9:9" x14ac:dyDescent="0.25">
      <c r="I226" s="4"/>
    </row>
    <row r="227" spans="9:9" x14ac:dyDescent="0.25">
      <c r="I227" s="4"/>
    </row>
    <row r="228" spans="9:9" x14ac:dyDescent="0.25">
      <c r="I228" s="4"/>
    </row>
    <row r="229" spans="9:9" x14ac:dyDescent="0.25">
      <c r="I229" s="4"/>
    </row>
    <row r="230" spans="9:9" x14ac:dyDescent="0.25">
      <c r="I230" s="4"/>
    </row>
    <row r="231" spans="9:9" x14ac:dyDescent="0.25">
      <c r="I231" s="4"/>
    </row>
    <row r="232" spans="9:9" x14ac:dyDescent="0.25">
      <c r="I232" s="4"/>
    </row>
    <row r="233" spans="9:9" x14ac:dyDescent="0.25">
      <c r="I233" s="4"/>
    </row>
    <row r="234" spans="9:9" x14ac:dyDescent="0.25">
      <c r="I234" s="4"/>
    </row>
    <row r="235" spans="9:9" x14ac:dyDescent="0.25">
      <c r="I235" s="4"/>
    </row>
    <row r="236" spans="9:9" x14ac:dyDescent="0.25">
      <c r="I236" s="4"/>
    </row>
    <row r="237" spans="9:9" x14ac:dyDescent="0.25">
      <c r="I237" s="4"/>
    </row>
    <row r="238" spans="9:9" x14ac:dyDescent="0.25">
      <c r="I238" s="4"/>
    </row>
    <row r="239" spans="9:9" x14ac:dyDescent="0.25">
      <c r="I239" s="4"/>
    </row>
    <row r="240" spans="9:9" x14ac:dyDescent="0.25">
      <c r="I240" s="4"/>
    </row>
    <row r="241" spans="9:9" x14ac:dyDescent="0.25">
      <c r="I241" s="4"/>
    </row>
    <row r="242" spans="9:9" x14ac:dyDescent="0.25">
      <c r="I242" s="4"/>
    </row>
    <row r="243" spans="9:9" x14ac:dyDescent="0.25">
      <c r="I243" s="4"/>
    </row>
    <row r="244" spans="9:9" x14ac:dyDescent="0.25">
      <c r="I244" s="4"/>
    </row>
    <row r="245" spans="9:9" x14ac:dyDescent="0.25">
      <c r="I245" s="4"/>
    </row>
    <row r="246" spans="9:9" x14ac:dyDescent="0.25">
      <c r="I246" s="4"/>
    </row>
    <row r="247" spans="9:9" x14ac:dyDescent="0.25">
      <c r="I247" s="4"/>
    </row>
    <row r="248" spans="9:9" x14ac:dyDescent="0.25">
      <c r="I248" s="4"/>
    </row>
    <row r="249" spans="9:9" x14ac:dyDescent="0.25">
      <c r="I249" s="4"/>
    </row>
    <row r="250" spans="9:9" x14ac:dyDescent="0.25">
      <c r="I250" s="4"/>
    </row>
    <row r="251" spans="9:9" x14ac:dyDescent="0.25">
      <c r="I251" s="4"/>
    </row>
    <row r="252" spans="9:9" x14ac:dyDescent="0.25">
      <c r="I252" s="4"/>
    </row>
    <row r="253" spans="9:9" x14ac:dyDescent="0.25">
      <c r="I253" s="4"/>
    </row>
    <row r="254" spans="9:9" x14ac:dyDescent="0.25">
      <c r="I254" s="4"/>
    </row>
    <row r="255" spans="9:9" x14ac:dyDescent="0.25">
      <c r="I255" s="4"/>
    </row>
    <row r="256" spans="9:9" x14ac:dyDescent="0.25">
      <c r="I256" s="4"/>
    </row>
    <row r="257" spans="9:9" x14ac:dyDescent="0.25">
      <c r="I257" s="4"/>
    </row>
    <row r="258" spans="9:9" x14ac:dyDescent="0.25">
      <c r="I258" s="4"/>
    </row>
    <row r="259" spans="9:9" x14ac:dyDescent="0.25">
      <c r="I259" s="4"/>
    </row>
    <row r="260" spans="9:9" x14ac:dyDescent="0.25">
      <c r="I260" s="4"/>
    </row>
    <row r="261" spans="9:9" x14ac:dyDescent="0.25">
      <c r="I261" s="4"/>
    </row>
    <row r="262" spans="9:9" x14ac:dyDescent="0.25">
      <c r="I262" s="4"/>
    </row>
    <row r="263" spans="9:9" x14ac:dyDescent="0.25">
      <c r="I263" s="4"/>
    </row>
    <row r="264" spans="9:9" x14ac:dyDescent="0.25">
      <c r="I264" s="4"/>
    </row>
    <row r="265" spans="9:9" x14ac:dyDescent="0.25">
      <c r="I265" s="4"/>
    </row>
    <row r="266" spans="9:9" x14ac:dyDescent="0.25">
      <c r="I266" s="4"/>
    </row>
    <row r="267" spans="9:9" x14ac:dyDescent="0.25">
      <c r="I267" s="4"/>
    </row>
    <row r="268" spans="9:9" x14ac:dyDescent="0.25">
      <c r="I268" s="4"/>
    </row>
    <row r="269" spans="9:9" x14ac:dyDescent="0.25">
      <c r="I269" s="4"/>
    </row>
    <row r="270" spans="9:9" x14ac:dyDescent="0.25">
      <c r="I270" s="4"/>
    </row>
    <row r="271" spans="9:9" x14ac:dyDescent="0.25">
      <c r="I271" s="4"/>
    </row>
    <row r="272" spans="9:9" x14ac:dyDescent="0.25">
      <c r="I272" s="4"/>
    </row>
    <row r="273" spans="9:9" x14ac:dyDescent="0.25">
      <c r="I273" s="4"/>
    </row>
    <row r="274" spans="9:9" x14ac:dyDescent="0.25">
      <c r="I274" s="4"/>
    </row>
    <row r="275" spans="9:9" x14ac:dyDescent="0.25">
      <c r="I275" s="4"/>
    </row>
    <row r="276" spans="9:9" x14ac:dyDescent="0.25">
      <c r="I276" s="4"/>
    </row>
    <row r="277" spans="9:9" x14ac:dyDescent="0.25">
      <c r="I277" s="4"/>
    </row>
    <row r="278" spans="9:9" x14ac:dyDescent="0.25">
      <c r="I278" s="4"/>
    </row>
    <row r="279" spans="9:9" x14ac:dyDescent="0.25">
      <c r="I279" s="4"/>
    </row>
    <row r="280" spans="9:9" x14ac:dyDescent="0.25">
      <c r="I280" s="4"/>
    </row>
    <row r="281" spans="9:9" x14ac:dyDescent="0.25">
      <c r="I281" s="4"/>
    </row>
    <row r="282" spans="9:9" x14ac:dyDescent="0.25">
      <c r="I282" s="4"/>
    </row>
    <row r="283" spans="9:9" x14ac:dyDescent="0.25">
      <c r="I283" s="4"/>
    </row>
    <row r="284" spans="9:9" x14ac:dyDescent="0.25">
      <c r="I284" s="4"/>
    </row>
    <row r="285" spans="9:9" x14ac:dyDescent="0.25">
      <c r="I285" s="4"/>
    </row>
    <row r="286" spans="9:9" x14ac:dyDescent="0.25">
      <c r="I286" s="4"/>
    </row>
    <row r="287" spans="9:9" x14ac:dyDescent="0.25">
      <c r="I287" s="4"/>
    </row>
    <row r="288" spans="9:9" x14ac:dyDescent="0.25">
      <c r="I288" s="4"/>
    </row>
    <row r="289" spans="9:9" x14ac:dyDescent="0.25">
      <c r="I289" s="4"/>
    </row>
    <row r="290" spans="9:9" x14ac:dyDescent="0.25">
      <c r="I290" s="4"/>
    </row>
    <row r="291" spans="9:9" x14ac:dyDescent="0.25">
      <c r="I291" s="4"/>
    </row>
    <row r="292" spans="9:9" x14ac:dyDescent="0.25">
      <c r="I292" s="4"/>
    </row>
    <row r="293" spans="9:9" x14ac:dyDescent="0.25">
      <c r="I293" s="4"/>
    </row>
    <row r="294" spans="9:9" x14ac:dyDescent="0.25">
      <c r="I294" s="4"/>
    </row>
    <row r="295" spans="9:9" x14ac:dyDescent="0.25">
      <c r="I295" s="4"/>
    </row>
    <row r="296" spans="9:9" x14ac:dyDescent="0.25">
      <c r="I296" s="4"/>
    </row>
    <row r="297" spans="9:9" x14ac:dyDescent="0.25">
      <c r="I297" s="4"/>
    </row>
    <row r="298" spans="9:9" x14ac:dyDescent="0.25">
      <c r="I298" s="4"/>
    </row>
    <row r="299" spans="9:9" x14ac:dyDescent="0.25">
      <c r="I299" s="4"/>
    </row>
    <row r="300" spans="9:9" x14ac:dyDescent="0.25">
      <c r="I300" s="4"/>
    </row>
    <row r="301" spans="9:9" x14ac:dyDescent="0.25">
      <c r="I301" s="4"/>
    </row>
    <row r="302" spans="9:9" x14ac:dyDescent="0.25">
      <c r="I302" s="4"/>
    </row>
    <row r="303" spans="9:9" x14ac:dyDescent="0.25">
      <c r="I303" s="4"/>
    </row>
    <row r="304" spans="9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  <row r="374" spans="9:9" x14ac:dyDescent="0.25">
      <c r="I374" s="4"/>
    </row>
    <row r="375" spans="9:9" x14ac:dyDescent="0.25">
      <c r="I375" s="4"/>
    </row>
    <row r="376" spans="9:9" x14ac:dyDescent="0.25">
      <c r="I376" s="4"/>
    </row>
    <row r="377" spans="9:9" x14ac:dyDescent="0.25">
      <c r="I377" s="4"/>
    </row>
    <row r="378" spans="9:9" x14ac:dyDescent="0.25">
      <c r="I378" s="4"/>
    </row>
    <row r="379" spans="9:9" x14ac:dyDescent="0.25">
      <c r="I379" s="4"/>
    </row>
    <row r="380" spans="9:9" x14ac:dyDescent="0.25">
      <c r="I380" s="4"/>
    </row>
    <row r="381" spans="9:9" x14ac:dyDescent="0.25">
      <c r="I381" s="4"/>
    </row>
    <row r="382" spans="9:9" x14ac:dyDescent="0.25">
      <c r="I382" s="4"/>
    </row>
    <row r="383" spans="9:9" x14ac:dyDescent="0.25">
      <c r="I383" s="4"/>
    </row>
    <row r="384" spans="9:9" x14ac:dyDescent="0.25">
      <c r="I384" s="4"/>
    </row>
    <row r="385" spans="9:9" x14ac:dyDescent="0.25">
      <c r="I385" s="4"/>
    </row>
    <row r="386" spans="9:9" x14ac:dyDescent="0.25">
      <c r="I386" s="4"/>
    </row>
    <row r="387" spans="9:9" x14ac:dyDescent="0.25">
      <c r="I387" s="4"/>
    </row>
    <row r="388" spans="9:9" x14ac:dyDescent="0.25">
      <c r="I388" s="4"/>
    </row>
    <row r="389" spans="9:9" x14ac:dyDescent="0.25">
      <c r="I389" s="4"/>
    </row>
    <row r="390" spans="9:9" x14ac:dyDescent="0.25">
      <c r="I390" s="4"/>
    </row>
    <row r="391" spans="9:9" x14ac:dyDescent="0.25">
      <c r="I391" s="4"/>
    </row>
    <row r="392" spans="9:9" x14ac:dyDescent="0.25">
      <c r="I392" s="4"/>
    </row>
    <row r="393" spans="9:9" x14ac:dyDescent="0.25">
      <c r="I393" s="4"/>
    </row>
    <row r="394" spans="9:9" x14ac:dyDescent="0.25">
      <c r="I394" s="4"/>
    </row>
    <row r="395" spans="9:9" x14ac:dyDescent="0.25">
      <c r="I395" s="4"/>
    </row>
    <row r="396" spans="9:9" x14ac:dyDescent="0.25">
      <c r="I396" s="4"/>
    </row>
    <row r="397" spans="9:9" x14ac:dyDescent="0.25">
      <c r="I397" s="4"/>
    </row>
    <row r="398" spans="9:9" x14ac:dyDescent="0.25">
      <c r="I398" s="4"/>
    </row>
    <row r="399" spans="9:9" x14ac:dyDescent="0.25">
      <c r="I399" s="4"/>
    </row>
    <row r="400" spans="9:9" x14ac:dyDescent="0.25">
      <c r="I400" s="4"/>
    </row>
    <row r="401" spans="9:9" x14ac:dyDescent="0.25">
      <c r="I401" s="4"/>
    </row>
    <row r="402" spans="9:9" x14ac:dyDescent="0.25">
      <c r="I402" s="4"/>
    </row>
    <row r="403" spans="9:9" x14ac:dyDescent="0.25">
      <c r="I403" s="4"/>
    </row>
    <row r="404" spans="9:9" x14ac:dyDescent="0.25">
      <c r="I404" s="4"/>
    </row>
    <row r="405" spans="9:9" x14ac:dyDescent="0.25">
      <c r="I405" s="4"/>
    </row>
    <row r="406" spans="9:9" x14ac:dyDescent="0.25">
      <c r="I406" s="4"/>
    </row>
    <row r="407" spans="9:9" x14ac:dyDescent="0.25">
      <c r="I407" s="4"/>
    </row>
    <row r="408" spans="9:9" x14ac:dyDescent="0.25">
      <c r="I408" s="4"/>
    </row>
    <row r="409" spans="9:9" x14ac:dyDescent="0.25">
      <c r="I409" s="4"/>
    </row>
    <row r="410" spans="9:9" x14ac:dyDescent="0.25">
      <c r="I410" s="4"/>
    </row>
    <row r="411" spans="9:9" x14ac:dyDescent="0.25">
      <c r="I411" s="4"/>
    </row>
    <row r="412" spans="9:9" x14ac:dyDescent="0.25">
      <c r="I412" s="4"/>
    </row>
    <row r="413" spans="9:9" x14ac:dyDescent="0.25">
      <c r="I413" s="4"/>
    </row>
    <row r="414" spans="9:9" x14ac:dyDescent="0.25">
      <c r="I414" s="4"/>
    </row>
    <row r="415" spans="9:9" x14ac:dyDescent="0.25">
      <c r="I415" s="4"/>
    </row>
    <row r="416" spans="9:9" x14ac:dyDescent="0.25">
      <c r="I416" s="4"/>
    </row>
    <row r="417" spans="9:9" x14ac:dyDescent="0.25">
      <c r="I417" s="4"/>
    </row>
    <row r="418" spans="9:9" x14ac:dyDescent="0.25">
      <c r="I418" s="4"/>
    </row>
    <row r="419" spans="9:9" x14ac:dyDescent="0.25">
      <c r="I419" s="4"/>
    </row>
    <row r="420" spans="9:9" x14ac:dyDescent="0.25">
      <c r="I420" s="4"/>
    </row>
    <row r="421" spans="9:9" x14ac:dyDescent="0.25">
      <c r="I421" s="4"/>
    </row>
    <row r="422" spans="9:9" x14ac:dyDescent="0.25">
      <c r="I422" s="4"/>
    </row>
    <row r="423" spans="9:9" x14ac:dyDescent="0.25">
      <c r="I423" s="4"/>
    </row>
    <row r="424" spans="9:9" x14ac:dyDescent="0.25">
      <c r="I424" s="4"/>
    </row>
    <row r="425" spans="9:9" x14ac:dyDescent="0.25">
      <c r="I425" s="4"/>
    </row>
    <row r="426" spans="9:9" x14ac:dyDescent="0.25">
      <c r="I426" s="4"/>
    </row>
    <row r="427" spans="9:9" x14ac:dyDescent="0.25">
      <c r="I427" s="4"/>
    </row>
    <row r="428" spans="9:9" x14ac:dyDescent="0.25">
      <c r="I428" s="4"/>
    </row>
    <row r="429" spans="9:9" x14ac:dyDescent="0.25">
      <c r="I429" s="4"/>
    </row>
    <row r="430" spans="9:9" x14ac:dyDescent="0.25">
      <c r="I430" s="4"/>
    </row>
    <row r="431" spans="9:9" x14ac:dyDescent="0.25">
      <c r="I431" s="4"/>
    </row>
    <row r="432" spans="9:9" x14ac:dyDescent="0.25">
      <c r="I432" s="4"/>
    </row>
    <row r="433" spans="9:9" x14ac:dyDescent="0.25">
      <c r="I433" s="4"/>
    </row>
    <row r="434" spans="9:9" x14ac:dyDescent="0.25">
      <c r="I434" s="4"/>
    </row>
    <row r="435" spans="9:9" x14ac:dyDescent="0.25">
      <c r="I435" s="4"/>
    </row>
    <row r="436" spans="9:9" x14ac:dyDescent="0.25">
      <c r="I436" s="4"/>
    </row>
    <row r="437" spans="9:9" x14ac:dyDescent="0.25">
      <c r="I437" s="4"/>
    </row>
    <row r="438" spans="9:9" x14ac:dyDescent="0.25">
      <c r="I438" s="4"/>
    </row>
    <row r="439" spans="9:9" x14ac:dyDescent="0.25">
      <c r="I439" s="4"/>
    </row>
    <row r="440" spans="9:9" x14ac:dyDescent="0.25">
      <c r="I440" s="4"/>
    </row>
    <row r="441" spans="9:9" x14ac:dyDescent="0.25">
      <c r="I441" s="4"/>
    </row>
    <row r="442" spans="9:9" x14ac:dyDescent="0.25">
      <c r="I442" s="4"/>
    </row>
    <row r="443" spans="9:9" x14ac:dyDescent="0.25">
      <c r="I443" s="4"/>
    </row>
    <row r="444" spans="9:9" x14ac:dyDescent="0.25">
      <c r="I444" s="4"/>
    </row>
    <row r="445" spans="9:9" x14ac:dyDescent="0.25">
      <c r="I445" s="4"/>
    </row>
    <row r="446" spans="9:9" x14ac:dyDescent="0.25">
      <c r="I446" s="4"/>
    </row>
    <row r="447" spans="9:9" x14ac:dyDescent="0.25">
      <c r="I447" s="4"/>
    </row>
    <row r="448" spans="9:9" x14ac:dyDescent="0.25">
      <c r="I448" s="4"/>
    </row>
    <row r="449" spans="9:9" x14ac:dyDescent="0.25">
      <c r="I449" s="4"/>
    </row>
    <row r="450" spans="9:9" x14ac:dyDescent="0.25">
      <c r="I450" s="4"/>
    </row>
    <row r="451" spans="9:9" x14ac:dyDescent="0.25">
      <c r="I451" s="4"/>
    </row>
    <row r="452" spans="9:9" x14ac:dyDescent="0.25">
      <c r="I452" s="4"/>
    </row>
    <row r="453" spans="9:9" x14ac:dyDescent="0.25">
      <c r="I453" s="4"/>
    </row>
    <row r="454" spans="9:9" x14ac:dyDescent="0.25">
      <c r="I454" s="4"/>
    </row>
    <row r="455" spans="9:9" x14ac:dyDescent="0.25">
      <c r="I455" s="4"/>
    </row>
    <row r="456" spans="9:9" x14ac:dyDescent="0.25">
      <c r="I456" s="4"/>
    </row>
    <row r="457" spans="9:9" x14ac:dyDescent="0.25">
      <c r="I457" s="4"/>
    </row>
    <row r="458" spans="9:9" x14ac:dyDescent="0.25">
      <c r="I458" s="4"/>
    </row>
    <row r="459" spans="9:9" x14ac:dyDescent="0.25">
      <c r="I459" s="4"/>
    </row>
    <row r="460" spans="9:9" x14ac:dyDescent="0.25">
      <c r="I460" s="4"/>
    </row>
    <row r="461" spans="9:9" x14ac:dyDescent="0.25">
      <c r="I461" s="4"/>
    </row>
    <row r="462" spans="9:9" x14ac:dyDescent="0.25">
      <c r="I462" s="4"/>
    </row>
    <row r="463" spans="9:9" x14ac:dyDescent="0.25">
      <c r="I463" s="4"/>
    </row>
    <row r="464" spans="9:9" x14ac:dyDescent="0.25">
      <c r="I464" s="4"/>
    </row>
    <row r="465" spans="9:9" x14ac:dyDescent="0.25">
      <c r="I465" s="4"/>
    </row>
    <row r="466" spans="9:9" x14ac:dyDescent="0.25">
      <c r="I466" s="4"/>
    </row>
    <row r="467" spans="9:9" x14ac:dyDescent="0.25">
      <c r="I467" s="4"/>
    </row>
    <row r="468" spans="9:9" x14ac:dyDescent="0.25">
      <c r="I468" s="4"/>
    </row>
    <row r="469" spans="9:9" x14ac:dyDescent="0.25">
      <c r="I469" s="4"/>
    </row>
    <row r="470" spans="9:9" x14ac:dyDescent="0.25">
      <c r="I470" s="4"/>
    </row>
    <row r="471" spans="9:9" x14ac:dyDescent="0.25">
      <c r="I471" s="4"/>
    </row>
    <row r="472" spans="9:9" x14ac:dyDescent="0.25">
      <c r="I472" s="4"/>
    </row>
    <row r="473" spans="9:9" x14ac:dyDescent="0.25">
      <c r="I473" s="4"/>
    </row>
    <row r="474" spans="9:9" x14ac:dyDescent="0.25">
      <c r="I474" s="4"/>
    </row>
    <row r="475" spans="9:9" x14ac:dyDescent="0.25">
      <c r="I475" s="4"/>
    </row>
    <row r="476" spans="9:9" x14ac:dyDescent="0.25">
      <c r="I476" s="4"/>
    </row>
    <row r="477" spans="9:9" x14ac:dyDescent="0.25">
      <c r="I477" s="4"/>
    </row>
    <row r="478" spans="9:9" x14ac:dyDescent="0.25">
      <c r="I478" s="4"/>
    </row>
    <row r="479" spans="9:9" x14ac:dyDescent="0.25">
      <c r="I479" s="4"/>
    </row>
    <row r="480" spans="9:9" x14ac:dyDescent="0.25">
      <c r="I480" s="4"/>
    </row>
    <row r="481" spans="9:9" x14ac:dyDescent="0.25">
      <c r="I481" s="4"/>
    </row>
    <row r="482" spans="9:9" x14ac:dyDescent="0.25">
      <c r="I482" s="4"/>
    </row>
    <row r="483" spans="9:9" x14ac:dyDescent="0.25">
      <c r="I483" s="4"/>
    </row>
    <row r="484" spans="9:9" x14ac:dyDescent="0.25">
      <c r="I484" s="4"/>
    </row>
    <row r="485" spans="9:9" x14ac:dyDescent="0.25">
      <c r="I485" s="4"/>
    </row>
    <row r="486" spans="9:9" x14ac:dyDescent="0.25">
      <c r="I486" s="4"/>
    </row>
    <row r="487" spans="9:9" x14ac:dyDescent="0.25">
      <c r="I487" s="4"/>
    </row>
    <row r="488" spans="9:9" x14ac:dyDescent="0.25">
      <c r="I488" s="4"/>
    </row>
    <row r="489" spans="9:9" x14ac:dyDescent="0.25">
      <c r="I489" s="4"/>
    </row>
    <row r="490" spans="9:9" x14ac:dyDescent="0.25">
      <c r="I490" s="4"/>
    </row>
    <row r="491" spans="9:9" x14ac:dyDescent="0.25">
      <c r="I491" s="4"/>
    </row>
    <row r="492" spans="9:9" x14ac:dyDescent="0.25">
      <c r="I492" s="4"/>
    </row>
    <row r="493" spans="9:9" x14ac:dyDescent="0.25">
      <c r="I493" s="4"/>
    </row>
    <row r="494" spans="9:9" x14ac:dyDescent="0.25">
      <c r="I494" s="4"/>
    </row>
    <row r="495" spans="9:9" x14ac:dyDescent="0.25">
      <c r="I495" s="4"/>
    </row>
    <row r="496" spans="9:9" x14ac:dyDescent="0.25">
      <c r="I496" s="4"/>
    </row>
    <row r="497" spans="9:9" x14ac:dyDescent="0.25">
      <c r="I497" s="4"/>
    </row>
    <row r="498" spans="9:9" x14ac:dyDescent="0.25">
      <c r="I498" s="4"/>
    </row>
    <row r="499" spans="9:9" x14ac:dyDescent="0.25">
      <c r="I499" s="4"/>
    </row>
    <row r="500" spans="9:9" x14ac:dyDescent="0.25">
      <c r="I500" s="4"/>
    </row>
    <row r="501" spans="9:9" x14ac:dyDescent="0.25">
      <c r="I501" s="4"/>
    </row>
    <row r="502" spans="9:9" x14ac:dyDescent="0.25">
      <c r="I502" s="4"/>
    </row>
    <row r="503" spans="9:9" x14ac:dyDescent="0.25">
      <c r="I503" s="4"/>
    </row>
    <row r="504" spans="9:9" x14ac:dyDescent="0.25">
      <c r="I504" s="4"/>
    </row>
    <row r="505" spans="9:9" x14ac:dyDescent="0.25">
      <c r="I505" s="4"/>
    </row>
    <row r="506" spans="9:9" x14ac:dyDescent="0.25">
      <c r="I506" s="4"/>
    </row>
    <row r="507" spans="9:9" x14ac:dyDescent="0.25">
      <c r="I507" s="4"/>
    </row>
    <row r="508" spans="9:9" x14ac:dyDescent="0.25">
      <c r="I508" s="4"/>
    </row>
    <row r="509" spans="9:9" x14ac:dyDescent="0.25">
      <c r="I509" s="4"/>
    </row>
    <row r="510" spans="9:9" x14ac:dyDescent="0.25">
      <c r="I510" s="4"/>
    </row>
    <row r="511" spans="9:9" x14ac:dyDescent="0.25">
      <c r="I511" s="4"/>
    </row>
    <row r="512" spans="9:9" x14ac:dyDescent="0.25">
      <c r="I512" s="4"/>
    </row>
    <row r="513" spans="9:9" x14ac:dyDescent="0.25">
      <c r="I513" s="4"/>
    </row>
    <row r="514" spans="9:9" x14ac:dyDescent="0.25">
      <c r="I514" s="4"/>
    </row>
    <row r="515" spans="9:9" x14ac:dyDescent="0.25">
      <c r="I515" s="4"/>
    </row>
    <row r="516" spans="9:9" x14ac:dyDescent="0.25">
      <c r="I516" s="4"/>
    </row>
    <row r="517" spans="9:9" x14ac:dyDescent="0.25">
      <c r="I517" s="4"/>
    </row>
    <row r="518" spans="9:9" x14ac:dyDescent="0.25">
      <c r="I518" s="4"/>
    </row>
    <row r="519" spans="9:9" x14ac:dyDescent="0.25">
      <c r="I519" s="4"/>
    </row>
    <row r="520" spans="9:9" x14ac:dyDescent="0.25">
      <c r="I520" s="4"/>
    </row>
    <row r="521" spans="9:9" x14ac:dyDescent="0.25">
      <c r="I521" s="4"/>
    </row>
    <row r="522" spans="9:9" x14ac:dyDescent="0.25">
      <c r="I522" s="4"/>
    </row>
    <row r="523" spans="9:9" x14ac:dyDescent="0.25">
      <c r="I523" s="4"/>
    </row>
    <row r="524" spans="9:9" x14ac:dyDescent="0.25">
      <c r="I524" s="4"/>
    </row>
    <row r="525" spans="9:9" x14ac:dyDescent="0.25">
      <c r="I525" s="4"/>
    </row>
    <row r="526" spans="9:9" x14ac:dyDescent="0.25">
      <c r="I526" s="4"/>
    </row>
    <row r="527" spans="9:9" x14ac:dyDescent="0.25">
      <c r="I527" s="4"/>
    </row>
    <row r="528" spans="9:9" x14ac:dyDescent="0.25">
      <c r="I528" s="4"/>
    </row>
    <row r="529" spans="9:9" x14ac:dyDescent="0.25">
      <c r="I529" s="4"/>
    </row>
    <row r="530" spans="9:9" x14ac:dyDescent="0.25">
      <c r="I530" s="4"/>
    </row>
    <row r="531" spans="9:9" x14ac:dyDescent="0.25">
      <c r="I531" s="4"/>
    </row>
    <row r="532" spans="9:9" x14ac:dyDescent="0.25">
      <c r="I532" s="4"/>
    </row>
    <row r="533" spans="9:9" x14ac:dyDescent="0.25">
      <c r="I533" s="4"/>
    </row>
    <row r="534" spans="9:9" x14ac:dyDescent="0.25">
      <c r="I534" s="4"/>
    </row>
    <row r="535" spans="9:9" x14ac:dyDescent="0.25">
      <c r="I535" s="4"/>
    </row>
    <row r="536" spans="9:9" x14ac:dyDescent="0.25">
      <c r="I536" s="4"/>
    </row>
    <row r="537" spans="9:9" x14ac:dyDescent="0.25">
      <c r="I537" s="4"/>
    </row>
    <row r="538" spans="9:9" x14ac:dyDescent="0.25">
      <c r="I538" s="4"/>
    </row>
    <row r="539" spans="9:9" x14ac:dyDescent="0.25">
      <c r="I539" s="4"/>
    </row>
    <row r="540" spans="9:9" x14ac:dyDescent="0.25">
      <c r="I540" s="4"/>
    </row>
    <row r="541" spans="9:9" x14ac:dyDescent="0.25">
      <c r="I541" s="4"/>
    </row>
    <row r="542" spans="9:9" x14ac:dyDescent="0.25">
      <c r="I542" s="4"/>
    </row>
    <row r="543" spans="9:9" x14ac:dyDescent="0.25">
      <c r="I543" s="4"/>
    </row>
    <row r="544" spans="9:9" x14ac:dyDescent="0.25">
      <c r="I544" s="4"/>
    </row>
    <row r="545" spans="9:9" x14ac:dyDescent="0.25">
      <c r="I545" s="4"/>
    </row>
    <row r="546" spans="9:9" x14ac:dyDescent="0.25">
      <c r="I546" s="4"/>
    </row>
    <row r="547" spans="9:9" x14ac:dyDescent="0.25">
      <c r="I547" s="4"/>
    </row>
    <row r="548" spans="9:9" x14ac:dyDescent="0.25">
      <c r="I548" s="4"/>
    </row>
    <row r="549" spans="9:9" x14ac:dyDescent="0.25">
      <c r="I549" s="4"/>
    </row>
    <row r="550" spans="9:9" x14ac:dyDescent="0.25">
      <c r="I550" s="4"/>
    </row>
    <row r="551" spans="9:9" x14ac:dyDescent="0.25">
      <c r="I551" s="4"/>
    </row>
    <row r="552" spans="9:9" x14ac:dyDescent="0.25">
      <c r="I552" s="4"/>
    </row>
    <row r="553" spans="9:9" x14ac:dyDescent="0.25">
      <c r="I553" s="4"/>
    </row>
    <row r="554" spans="9:9" x14ac:dyDescent="0.25">
      <c r="I554" s="4"/>
    </row>
    <row r="555" spans="9:9" x14ac:dyDescent="0.25">
      <c r="I555" s="4"/>
    </row>
    <row r="556" spans="9:9" x14ac:dyDescent="0.25">
      <c r="I556" s="4"/>
    </row>
    <row r="557" spans="9:9" x14ac:dyDescent="0.25">
      <c r="I557" s="4"/>
    </row>
    <row r="558" spans="9:9" x14ac:dyDescent="0.25">
      <c r="I558" s="4"/>
    </row>
    <row r="559" spans="9:9" x14ac:dyDescent="0.25">
      <c r="I559" s="4"/>
    </row>
    <row r="560" spans="9:9" x14ac:dyDescent="0.25">
      <c r="I560" s="4"/>
    </row>
    <row r="561" spans="9:9" x14ac:dyDescent="0.25">
      <c r="I561" s="4"/>
    </row>
    <row r="562" spans="9:9" x14ac:dyDescent="0.25">
      <c r="I562" s="4"/>
    </row>
    <row r="563" spans="9:9" x14ac:dyDescent="0.25">
      <c r="I563" s="4"/>
    </row>
    <row r="564" spans="9:9" x14ac:dyDescent="0.25">
      <c r="I564" s="4"/>
    </row>
    <row r="565" spans="9:9" x14ac:dyDescent="0.25">
      <c r="I565" s="4"/>
    </row>
    <row r="566" spans="9:9" x14ac:dyDescent="0.25">
      <c r="I566" s="4"/>
    </row>
    <row r="567" spans="9:9" x14ac:dyDescent="0.25">
      <c r="I567" s="4"/>
    </row>
    <row r="568" spans="9:9" x14ac:dyDescent="0.25">
      <c r="I568" s="4"/>
    </row>
    <row r="569" spans="9:9" x14ac:dyDescent="0.25">
      <c r="I569" s="4"/>
    </row>
    <row r="570" spans="9:9" x14ac:dyDescent="0.25">
      <c r="I570" s="4"/>
    </row>
    <row r="571" spans="9:9" x14ac:dyDescent="0.25">
      <c r="I571" s="4"/>
    </row>
    <row r="572" spans="9:9" x14ac:dyDescent="0.25">
      <c r="I572" s="4"/>
    </row>
    <row r="573" spans="9:9" x14ac:dyDescent="0.25">
      <c r="I573" s="4"/>
    </row>
    <row r="574" spans="9:9" x14ac:dyDescent="0.25">
      <c r="I574" s="4"/>
    </row>
    <row r="575" spans="9:9" x14ac:dyDescent="0.25">
      <c r="I575" s="4"/>
    </row>
    <row r="576" spans="9:9" x14ac:dyDescent="0.25">
      <c r="I576" s="4"/>
    </row>
    <row r="577" spans="9:9" x14ac:dyDescent="0.25">
      <c r="I577" s="4"/>
    </row>
    <row r="578" spans="9:9" x14ac:dyDescent="0.25">
      <c r="I578" s="4"/>
    </row>
    <row r="579" spans="9:9" x14ac:dyDescent="0.25">
      <c r="I579" s="4"/>
    </row>
    <row r="580" spans="9:9" x14ac:dyDescent="0.25">
      <c r="I580" s="4"/>
    </row>
    <row r="581" spans="9:9" x14ac:dyDescent="0.25">
      <c r="I581" s="4"/>
    </row>
    <row r="582" spans="9:9" x14ac:dyDescent="0.25">
      <c r="I582" s="4"/>
    </row>
    <row r="583" spans="9:9" x14ac:dyDescent="0.25">
      <c r="I583" s="4"/>
    </row>
    <row r="584" spans="9:9" x14ac:dyDescent="0.25">
      <c r="I584" s="4"/>
    </row>
    <row r="585" spans="9:9" x14ac:dyDescent="0.25">
      <c r="I585" s="4"/>
    </row>
    <row r="586" spans="9:9" x14ac:dyDescent="0.25">
      <c r="I586" s="4"/>
    </row>
    <row r="587" spans="9:9" x14ac:dyDescent="0.25">
      <c r="I587" s="4"/>
    </row>
    <row r="588" spans="9:9" x14ac:dyDescent="0.25">
      <c r="I588" s="4"/>
    </row>
    <row r="589" spans="9:9" x14ac:dyDescent="0.25">
      <c r="I589" s="4"/>
    </row>
    <row r="590" spans="9:9" x14ac:dyDescent="0.25">
      <c r="I590" s="4"/>
    </row>
    <row r="591" spans="9:9" x14ac:dyDescent="0.25">
      <c r="I591" s="4"/>
    </row>
    <row r="592" spans="9:9" x14ac:dyDescent="0.25">
      <c r="I592" s="4"/>
    </row>
    <row r="593" spans="9:9" x14ac:dyDescent="0.25">
      <c r="I593" s="4"/>
    </row>
    <row r="594" spans="9:9" x14ac:dyDescent="0.25">
      <c r="I594" s="4"/>
    </row>
    <row r="595" spans="9:9" x14ac:dyDescent="0.25">
      <c r="I595" s="4"/>
    </row>
    <row r="596" spans="9:9" x14ac:dyDescent="0.25">
      <c r="I596" s="4"/>
    </row>
    <row r="597" spans="9:9" x14ac:dyDescent="0.25">
      <c r="I597" s="4"/>
    </row>
    <row r="598" spans="9:9" x14ac:dyDescent="0.25">
      <c r="I598" s="4"/>
    </row>
    <row r="599" spans="9:9" x14ac:dyDescent="0.25">
      <c r="I599" s="4"/>
    </row>
    <row r="600" spans="9:9" x14ac:dyDescent="0.25">
      <c r="I600" s="4"/>
    </row>
    <row r="601" spans="9:9" x14ac:dyDescent="0.25">
      <c r="I601" s="4"/>
    </row>
    <row r="602" spans="9:9" x14ac:dyDescent="0.25">
      <c r="I602" s="4"/>
    </row>
    <row r="603" spans="9:9" x14ac:dyDescent="0.25">
      <c r="I603" s="4"/>
    </row>
    <row r="604" spans="9:9" x14ac:dyDescent="0.25">
      <c r="I604" s="4"/>
    </row>
    <row r="605" spans="9:9" x14ac:dyDescent="0.25">
      <c r="I605" s="4"/>
    </row>
    <row r="606" spans="9:9" x14ac:dyDescent="0.25">
      <c r="I606" s="4"/>
    </row>
    <row r="607" spans="9:9" x14ac:dyDescent="0.25">
      <c r="I607" s="4"/>
    </row>
    <row r="608" spans="9:9" x14ac:dyDescent="0.25">
      <c r="I608" s="4"/>
    </row>
    <row r="609" spans="9:9" x14ac:dyDescent="0.25">
      <c r="I609" s="4"/>
    </row>
    <row r="610" spans="9:9" x14ac:dyDescent="0.25">
      <c r="I610" s="4"/>
    </row>
    <row r="611" spans="9:9" x14ac:dyDescent="0.25">
      <c r="I611" s="4"/>
    </row>
    <row r="612" spans="9:9" x14ac:dyDescent="0.25">
      <c r="I612" s="4"/>
    </row>
    <row r="613" spans="9:9" x14ac:dyDescent="0.25">
      <c r="I613" s="4"/>
    </row>
    <row r="614" spans="9:9" x14ac:dyDescent="0.25">
      <c r="I614" s="4"/>
    </row>
    <row r="615" spans="9:9" x14ac:dyDescent="0.25">
      <c r="I615" s="4"/>
    </row>
    <row r="616" spans="9:9" x14ac:dyDescent="0.25">
      <c r="I616" s="4"/>
    </row>
    <row r="617" spans="9:9" x14ac:dyDescent="0.25">
      <c r="I617" s="4"/>
    </row>
    <row r="618" spans="9:9" x14ac:dyDescent="0.25">
      <c r="I618" s="4"/>
    </row>
    <row r="619" spans="9:9" x14ac:dyDescent="0.25">
      <c r="I619" s="4"/>
    </row>
    <row r="620" spans="9:9" x14ac:dyDescent="0.25">
      <c r="I620" s="4"/>
    </row>
    <row r="621" spans="9:9" x14ac:dyDescent="0.25">
      <c r="I621" s="4"/>
    </row>
    <row r="622" spans="9:9" x14ac:dyDescent="0.25">
      <c r="I622" s="4"/>
    </row>
    <row r="623" spans="9:9" x14ac:dyDescent="0.25">
      <c r="I623" s="4"/>
    </row>
    <row r="624" spans="9:9" x14ac:dyDescent="0.25">
      <c r="I624" s="4"/>
    </row>
    <row r="625" spans="9:9" x14ac:dyDescent="0.25">
      <c r="I625" s="4"/>
    </row>
    <row r="626" spans="9:9" x14ac:dyDescent="0.25">
      <c r="I626" s="4"/>
    </row>
    <row r="627" spans="9:9" x14ac:dyDescent="0.25">
      <c r="I627" s="4"/>
    </row>
    <row r="628" spans="9:9" x14ac:dyDescent="0.25">
      <c r="I628" s="4"/>
    </row>
    <row r="629" spans="9:9" x14ac:dyDescent="0.25">
      <c r="I629" s="4"/>
    </row>
    <row r="630" spans="9:9" x14ac:dyDescent="0.25">
      <c r="I630" s="4"/>
    </row>
    <row r="631" spans="9:9" x14ac:dyDescent="0.25">
      <c r="I631" s="4"/>
    </row>
    <row r="632" spans="9:9" x14ac:dyDescent="0.25">
      <c r="I632" s="4"/>
    </row>
    <row r="633" spans="9:9" x14ac:dyDescent="0.25">
      <c r="I633" s="4"/>
    </row>
    <row r="634" spans="9:9" x14ac:dyDescent="0.25">
      <c r="I634" s="4"/>
    </row>
    <row r="635" spans="9:9" x14ac:dyDescent="0.25">
      <c r="I635" s="4"/>
    </row>
    <row r="636" spans="9:9" x14ac:dyDescent="0.25">
      <c r="I636" s="4"/>
    </row>
    <row r="637" spans="9:9" x14ac:dyDescent="0.25">
      <c r="I637" s="4"/>
    </row>
    <row r="638" spans="9:9" x14ac:dyDescent="0.25">
      <c r="I638" s="4"/>
    </row>
    <row r="639" spans="9:9" x14ac:dyDescent="0.25">
      <c r="I639" s="4"/>
    </row>
    <row r="640" spans="9:9" x14ac:dyDescent="0.25">
      <c r="I640" s="4"/>
    </row>
    <row r="641" spans="9:9" x14ac:dyDescent="0.25">
      <c r="I641" s="4"/>
    </row>
    <row r="642" spans="9:9" x14ac:dyDescent="0.25">
      <c r="I642" s="4"/>
    </row>
    <row r="643" spans="9:9" x14ac:dyDescent="0.25">
      <c r="I643" s="4"/>
    </row>
    <row r="644" spans="9:9" x14ac:dyDescent="0.25">
      <c r="I644" s="4"/>
    </row>
    <row r="645" spans="9:9" x14ac:dyDescent="0.25">
      <c r="I645" s="4"/>
    </row>
    <row r="646" spans="9:9" x14ac:dyDescent="0.25">
      <c r="I646" s="4"/>
    </row>
    <row r="647" spans="9:9" x14ac:dyDescent="0.25">
      <c r="I647" s="4"/>
    </row>
    <row r="648" spans="9:9" x14ac:dyDescent="0.25">
      <c r="I648" s="4"/>
    </row>
    <row r="649" spans="9:9" x14ac:dyDescent="0.25">
      <c r="I649" s="4"/>
    </row>
    <row r="650" spans="9:9" x14ac:dyDescent="0.25">
      <c r="I650" s="4"/>
    </row>
    <row r="651" spans="9:9" x14ac:dyDescent="0.25">
      <c r="I651" s="4"/>
    </row>
    <row r="652" spans="9:9" x14ac:dyDescent="0.25">
      <c r="I652" s="4"/>
    </row>
    <row r="653" spans="9:9" x14ac:dyDescent="0.25">
      <c r="I653" s="4"/>
    </row>
    <row r="654" spans="9:9" x14ac:dyDescent="0.25">
      <c r="I654" s="4"/>
    </row>
    <row r="655" spans="9:9" x14ac:dyDescent="0.25">
      <c r="I655" s="4"/>
    </row>
    <row r="656" spans="9:9" x14ac:dyDescent="0.25">
      <c r="I656" s="4"/>
    </row>
    <row r="657" spans="9:9" x14ac:dyDescent="0.25">
      <c r="I657" s="4"/>
    </row>
    <row r="658" spans="9:9" x14ac:dyDescent="0.25">
      <c r="I658" s="4"/>
    </row>
    <row r="659" spans="9:9" x14ac:dyDescent="0.25">
      <c r="I659" s="4"/>
    </row>
    <row r="660" spans="9:9" x14ac:dyDescent="0.25">
      <c r="I660" s="4"/>
    </row>
    <row r="661" spans="9:9" x14ac:dyDescent="0.25">
      <c r="I661" s="4"/>
    </row>
    <row r="662" spans="9:9" x14ac:dyDescent="0.25">
      <c r="I662" s="4"/>
    </row>
    <row r="663" spans="9:9" x14ac:dyDescent="0.25">
      <c r="I663" s="4"/>
    </row>
    <row r="664" spans="9:9" x14ac:dyDescent="0.25">
      <c r="I664" s="4"/>
    </row>
    <row r="665" spans="9:9" x14ac:dyDescent="0.25">
      <c r="I665" s="4"/>
    </row>
    <row r="666" spans="9:9" x14ac:dyDescent="0.25">
      <c r="I666" s="4"/>
    </row>
    <row r="667" spans="9:9" x14ac:dyDescent="0.25">
      <c r="I667" s="4"/>
    </row>
    <row r="668" spans="9:9" x14ac:dyDescent="0.25">
      <c r="I668" s="4"/>
    </row>
    <row r="669" spans="9:9" x14ac:dyDescent="0.25">
      <c r="I669" s="4"/>
    </row>
    <row r="670" spans="9:9" x14ac:dyDescent="0.25">
      <c r="I670" s="4"/>
    </row>
    <row r="671" spans="9:9" x14ac:dyDescent="0.25">
      <c r="I671" s="4"/>
    </row>
    <row r="672" spans="9:9" x14ac:dyDescent="0.25">
      <c r="I672" s="4"/>
    </row>
    <row r="673" spans="9:9" x14ac:dyDescent="0.25">
      <c r="I673" s="4"/>
    </row>
    <row r="674" spans="9:9" x14ac:dyDescent="0.25">
      <c r="I674" s="4"/>
    </row>
    <row r="675" spans="9:9" x14ac:dyDescent="0.25">
      <c r="I675" s="4"/>
    </row>
    <row r="676" spans="9:9" x14ac:dyDescent="0.25">
      <c r="I676" s="4"/>
    </row>
    <row r="677" spans="9:9" x14ac:dyDescent="0.25">
      <c r="I677" s="4"/>
    </row>
    <row r="678" spans="9:9" x14ac:dyDescent="0.25">
      <c r="I678" s="4"/>
    </row>
    <row r="679" spans="9:9" x14ac:dyDescent="0.25">
      <c r="I679" s="4"/>
    </row>
    <row r="680" spans="9:9" x14ac:dyDescent="0.25">
      <c r="I680" s="4"/>
    </row>
    <row r="681" spans="9:9" x14ac:dyDescent="0.25">
      <c r="I681" s="4"/>
    </row>
    <row r="682" spans="9:9" x14ac:dyDescent="0.25">
      <c r="I682" s="4"/>
    </row>
    <row r="683" spans="9:9" x14ac:dyDescent="0.25">
      <c r="I683" s="4"/>
    </row>
    <row r="684" spans="9:9" x14ac:dyDescent="0.25">
      <c r="I684" s="4"/>
    </row>
    <row r="685" spans="9:9" x14ac:dyDescent="0.25">
      <c r="I685" s="4"/>
    </row>
    <row r="686" spans="9:9" x14ac:dyDescent="0.25">
      <c r="I686" s="4"/>
    </row>
    <row r="687" spans="9:9" x14ac:dyDescent="0.25">
      <c r="I687" s="4"/>
    </row>
    <row r="688" spans="9:9" x14ac:dyDescent="0.25">
      <c r="I688" s="4"/>
    </row>
    <row r="689" spans="9:9" x14ac:dyDescent="0.25">
      <c r="I689" s="4"/>
    </row>
    <row r="690" spans="9:9" x14ac:dyDescent="0.25">
      <c r="I690" s="4"/>
    </row>
    <row r="691" spans="9:9" x14ac:dyDescent="0.25">
      <c r="I691" s="4"/>
    </row>
    <row r="692" spans="9:9" x14ac:dyDescent="0.25">
      <c r="I692" s="4"/>
    </row>
    <row r="693" spans="9:9" x14ac:dyDescent="0.25">
      <c r="I693" s="4"/>
    </row>
    <row r="694" spans="9:9" x14ac:dyDescent="0.25">
      <c r="I694" s="4"/>
    </row>
    <row r="695" spans="9:9" x14ac:dyDescent="0.25">
      <c r="I695" s="4"/>
    </row>
    <row r="696" spans="9:9" x14ac:dyDescent="0.25">
      <c r="I696" s="4"/>
    </row>
    <row r="697" spans="9:9" x14ac:dyDescent="0.25">
      <c r="I697" s="4"/>
    </row>
    <row r="698" spans="9:9" x14ac:dyDescent="0.25">
      <c r="I698" s="4"/>
    </row>
    <row r="699" spans="9:9" x14ac:dyDescent="0.25">
      <c r="I699" s="4"/>
    </row>
    <row r="700" spans="9:9" x14ac:dyDescent="0.25">
      <c r="I700" s="4"/>
    </row>
    <row r="701" spans="9:9" x14ac:dyDescent="0.25">
      <c r="I701" s="4"/>
    </row>
    <row r="702" spans="9:9" x14ac:dyDescent="0.25">
      <c r="I702" s="4"/>
    </row>
    <row r="703" spans="9:9" x14ac:dyDescent="0.25">
      <c r="I703" s="4"/>
    </row>
    <row r="704" spans="9:9" x14ac:dyDescent="0.25">
      <c r="I704" s="4"/>
    </row>
    <row r="705" spans="9:9" x14ac:dyDescent="0.25">
      <c r="I705" s="4"/>
    </row>
    <row r="706" spans="9:9" x14ac:dyDescent="0.25">
      <c r="I706" s="4"/>
    </row>
    <row r="707" spans="9:9" x14ac:dyDescent="0.25">
      <c r="I707" s="4"/>
    </row>
    <row r="708" spans="9:9" x14ac:dyDescent="0.25">
      <c r="I708" s="4"/>
    </row>
    <row r="709" spans="9:9" x14ac:dyDescent="0.25">
      <c r="I709" s="4"/>
    </row>
    <row r="710" spans="9:9" x14ac:dyDescent="0.25">
      <c r="I710" s="4"/>
    </row>
    <row r="711" spans="9:9" x14ac:dyDescent="0.25">
      <c r="I711" s="4"/>
    </row>
    <row r="712" spans="9:9" x14ac:dyDescent="0.25">
      <c r="I712" s="4"/>
    </row>
    <row r="713" spans="9:9" x14ac:dyDescent="0.25">
      <c r="I713" s="4"/>
    </row>
    <row r="714" spans="9:9" x14ac:dyDescent="0.25">
      <c r="I714" s="4"/>
    </row>
    <row r="715" spans="9:9" x14ac:dyDescent="0.25">
      <c r="I715" s="4"/>
    </row>
    <row r="716" spans="9:9" x14ac:dyDescent="0.25">
      <c r="I716" s="4"/>
    </row>
    <row r="717" spans="9:9" x14ac:dyDescent="0.25">
      <c r="I717" s="4"/>
    </row>
    <row r="718" spans="9:9" x14ac:dyDescent="0.25">
      <c r="I718" s="4"/>
    </row>
    <row r="719" spans="9:9" x14ac:dyDescent="0.25">
      <c r="I719" s="4"/>
    </row>
    <row r="720" spans="9:9" x14ac:dyDescent="0.25">
      <c r="I720" s="4"/>
    </row>
    <row r="721" spans="9:9" x14ac:dyDescent="0.25">
      <c r="I721" s="4"/>
    </row>
    <row r="722" spans="9:9" x14ac:dyDescent="0.25">
      <c r="I722" s="4"/>
    </row>
    <row r="723" spans="9:9" x14ac:dyDescent="0.25">
      <c r="I723" s="4"/>
    </row>
    <row r="724" spans="9:9" x14ac:dyDescent="0.25">
      <c r="I724" s="4"/>
    </row>
    <row r="725" spans="9:9" x14ac:dyDescent="0.25">
      <c r="I725" s="4"/>
    </row>
    <row r="726" spans="9:9" x14ac:dyDescent="0.25">
      <c r="I726" s="4"/>
    </row>
    <row r="727" spans="9:9" x14ac:dyDescent="0.25">
      <c r="I727" s="4"/>
    </row>
    <row r="728" spans="9:9" x14ac:dyDescent="0.25">
      <c r="I728" s="4"/>
    </row>
    <row r="729" spans="9:9" x14ac:dyDescent="0.25">
      <c r="I729" s="4"/>
    </row>
    <row r="730" spans="9:9" x14ac:dyDescent="0.25">
      <c r="I730" s="4"/>
    </row>
    <row r="731" spans="9:9" x14ac:dyDescent="0.25">
      <c r="I731" s="4"/>
    </row>
    <row r="732" spans="9:9" x14ac:dyDescent="0.25">
      <c r="I732" s="4"/>
    </row>
    <row r="733" spans="9:9" x14ac:dyDescent="0.25">
      <c r="I733" s="4"/>
    </row>
    <row r="734" spans="9:9" x14ac:dyDescent="0.25">
      <c r="I734" s="4"/>
    </row>
    <row r="735" spans="9:9" x14ac:dyDescent="0.25">
      <c r="I735" s="4"/>
    </row>
    <row r="736" spans="9:9" x14ac:dyDescent="0.25">
      <c r="I736" s="4"/>
    </row>
    <row r="737" spans="9:9" x14ac:dyDescent="0.25">
      <c r="I737" s="4"/>
    </row>
    <row r="738" spans="9:9" x14ac:dyDescent="0.25">
      <c r="I738" s="4"/>
    </row>
    <row r="739" spans="9:9" x14ac:dyDescent="0.25">
      <c r="I739" s="4"/>
    </row>
    <row r="740" spans="9:9" x14ac:dyDescent="0.25">
      <c r="I740" s="4"/>
    </row>
    <row r="741" spans="9:9" x14ac:dyDescent="0.25">
      <c r="I741" s="4"/>
    </row>
    <row r="742" spans="9:9" x14ac:dyDescent="0.25">
      <c r="I742" s="4"/>
    </row>
    <row r="743" spans="9:9" x14ac:dyDescent="0.25">
      <c r="I743" s="4"/>
    </row>
    <row r="744" spans="9:9" x14ac:dyDescent="0.25">
      <c r="I744" s="4"/>
    </row>
    <row r="745" spans="9:9" x14ac:dyDescent="0.25">
      <c r="I745" s="4"/>
    </row>
    <row r="746" spans="9:9" x14ac:dyDescent="0.25">
      <c r="I746" s="4"/>
    </row>
    <row r="747" spans="9:9" x14ac:dyDescent="0.25">
      <c r="I747" s="4"/>
    </row>
    <row r="748" spans="9:9" x14ac:dyDescent="0.25">
      <c r="I748" s="4"/>
    </row>
    <row r="749" spans="9:9" x14ac:dyDescent="0.25">
      <c r="I749" s="4"/>
    </row>
    <row r="750" spans="9:9" x14ac:dyDescent="0.25">
      <c r="I750" s="4"/>
    </row>
    <row r="751" spans="9:9" x14ac:dyDescent="0.25">
      <c r="I751" s="4"/>
    </row>
    <row r="752" spans="9:9" x14ac:dyDescent="0.25">
      <c r="I752" s="4"/>
    </row>
    <row r="753" spans="9:9" x14ac:dyDescent="0.25">
      <c r="I753" s="4"/>
    </row>
    <row r="754" spans="9:9" x14ac:dyDescent="0.25">
      <c r="I754" s="4"/>
    </row>
    <row r="755" spans="9:9" x14ac:dyDescent="0.25">
      <c r="I755" s="4"/>
    </row>
    <row r="756" spans="9:9" x14ac:dyDescent="0.25">
      <c r="I756" s="4"/>
    </row>
    <row r="757" spans="9:9" x14ac:dyDescent="0.25">
      <c r="I757" s="4"/>
    </row>
    <row r="758" spans="9:9" x14ac:dyDescent="0.25">
      <c r="I758" s="4"/>
    </row>
    <row r="759" spans="9:9" x14ac:dyDescent="0.25">
      <c r="I759" s="4"/>
    </row>
    <row r="760" spans="9:9" x14ac:dyDescent="0.25">
      <c r="I760" s="4"/>
    </row>
    <row r="761" spans="9:9" x14ac:dyDescent="0.25">
      <c r="I761" s="4"/>
    </row>
    <row r="762" spans="9:9" x14ac:dyDescent="0.25">
      <c r="I762" s="4"/>
    </row>
    <row r="763" spans="9:9" x14ac:dyDescent="0.25">
      <c r="I763" s="4"/>
    </row>
    <row r="764" spans="9:9" x14ac:dyDescent="0.25">
      <c r="I764" s="4"/>
    </row>
    <row r="765" spans="9:9" x14ac:dyDescent="0.25">
      <c r="I765" s="4"/>
    </row>
    <row r="766" spans="9:9" x14ac:dyDescent="0.25">
      <c r="I766" s="4"/>
    </row>
    <row r="767" spans="9:9" x14ac:dyDescent="0.25">
      <c r="I767" s="4"/>
    </row>
    <row r="768" spans="9:9" x14ac:dyDescent="0.25">
      <c r="I768" s="4"/>
    </row>
    <row r="769" spans="9:9" x14ac:dyDescent="0.25">
      <c r="I769" s="4"/>
    </row>
    <row r="770" spans="9:9" x14ac:dyDescent="0.25">
      <c r="I770" s="4"/>
    </row>
    <row r="771" spans="9:9" x14ac:dyDescent="0.25">
      <c r="I771" s="4"/>
    </row>
    <row r="772" spans="9:9" x14ac:dyDescent="0.25">
      <c r="I772" s="4"/>
    </row>
    <row r="773" spans="9:9" x14ac:dyDescent="0.25">
      <c r="I773" s="4"/>
    </row>
    <row r="774" spans="9:9" x14ac:dyDescent="0.25">
      <c r="I774" s="4"/>
    </row>
    <row r="775" spans="9:9" x14ac:dyDescent="0.25">
      <c r="I775" s="4"/>
    </row>
    <row r="776" spans="9:9" x14ac:dyDescent="0.25">
      <c r="I776" s="4"/>
    </row>
    <row r="777" spans="9:9" x14ac:dyDescent="0.25">
      <c r="I777" s="4"/>
    </row>
    <row r="778" spans="9:9" x14ac:dyDescent="0.25">
      <c r="I778" s="4"/>
    </row>
    <row r="779" spans="9:9" x14ac:dyDescent="0.25">
      <c r="I779" s="4"/>
    </row>
    <row r="780" spans="9:9" x14ac:dyDescent="0.25">
      <c r="I780" s="4"/>
    </row>
    <row r="781" spans="9:9" x14ac:dyDescent="0.25">
      <c r="I781" s="4"/>
    </row>
    <row r="782" spans="9:9" x14ac:dyDescent="0.25">
      <c r="I782" s="4"/>
    </row>
    <row r="783" spans="9:9" x14ac:dyDescent="0.25">
      <c r="I783" s="4"/>
    </row>
    <row r="784" spans="9:9" x14ac:dyDescent="0.25">
      <c r="I784" s="4"/>
    </row>
    <row r="785" spans="9:9" x14ac:dyDescent="0.25">
      <c r="I785" s="4"/>
    </row>
    <row r="786" spans="9:9" x14ac:dyDescent="0.25">
      <c r="I786" s="4"/>
    </row>
    <row r="787" spans="9:9" x14ac:dyDescent="0.25">
      <c r="I787" s="4"/>
    </row>
    <row r="788" spans="9:9" x14ac:dyDescent="0.25">
      <c r="I788" s="4"/>
    </row>
    <row r="789" spans="9:9" x14ac:dyDescent="0.25">
      <c r="I789" s="4"/>
    </row>
    <row r="790" spans="9:9" x14ac:dyDescent="0.25">
      <c r="I790" s="4"/>
    </row>
    <row r="791" spans="9:9" x14ac:dyDescent="0.25">
      <c r="I791" s="4"/>
    </row>
    <row r="792" spans="9:9" x14ac:dyDescent="0.25">
      <c r="I792" s="4"/>
    </row>
    <row r="793" spans="9:9" x14ac:dyDescent="0.25">
      <c r="I793" s="4"/>
    </row>
    <row r="794" spans="9:9" x14ac:dyDescent="0.25">
      <c r="I794" s="4"/>
    </row>
    <row r="795" spans="9:9" x14ac:dyDescent="0.25">
      <c r="I795" s="4"/>
    </row>
    <row r="796" spans="9:9" x14ac:dyDescent="0.25">
      <c r="I796" s="4"/>
    </row>
    <row r="797" spans="9:9" x14ac:dyDescent="0.25">
      <c r="I797" s="4"/>
    </row>
    <row r="798" spans="9:9" x14ac:dyDescent="0.25">
      <c r="I798" s="4"/>
    </row>
    <row r="799" spans="9:9" x14ac:dyDescent="0.25">
      <c r="I799" s="4"/>
    </row>
    <row r="800" spans="9:9" x14ac:dyDescent="0.25">
      <c r="I800" s="4"/>
    </row>
    <row r="801" spans="9:9" x14ac:dyDescent="0.25">
      <c r="I801" s="4"/>
    </row>
    <row r="802" spans="9:9" x14ac:dyDescent="0.25">
      <c r="I802" s="4"/>
    </row>
    <row r="803" spans="9:9" x14ac:dyDescent="0.25">
      <c r="I803" s="4"/>
    </row>
    <row r="804" spans="9:9" x14ac:dyDescent="0.25">
      <c r="I804" s="4"/>
    </row>
    <row r="805" spans="9:9" x14ac:dyDescent="0.25">
      <c r="I805" s="4"/>
    </row>
    <row r="806" spans="9:9" x14ac:dyDescent="0.25">
      <c r="I806" s="4"/>
    </row>
    <row r="807" spans="9:9" x14ac:dyDescent="0.25">
      <c r="I807" s="4"/>
    </row>
    <row r="808" spans="9:9" x14ac:dyDescent="0.25">
      <c r="I808" s="4"/>
    </row>
    <row r="809" spans="9:9" x14ac:dyDescent="0.25">
      <c r="I809" s="4"/>
    </row>
    <row r="810" spans="9:9" x14ac:dyDescent="0.25">
      <c r="I810" s="4"/>
    </row>
    <row r="811" spans="9:9" x14ac:dyDescent="0.25">
      <c r="I811" s="4"/>
    </row>
    <row r="812" spans="9:9" x14ac:dyDescent="0.25">
      <c r="I812" s="4"/>
    </row>
    <row r="813" spans="9:9" x14ac:dyDescent="0.25">
      <c r="I813" s="4"/>
    </row>
    <row r="814" spans="9:9" x14ac:dyDescent="0.25">
      <c r="I814" s="4"/>
    </row>
    <row r="815" spans="9:9" x14ac:dyDescent="0.25">
      <c r="I815" s="4"/>
    </row>
    <row r="816" spans="9:9" x14ac:dyDescent="0.25">
      <c r="I816" s="4"/>
    </row>
    <row r="817" spans="9:9" x14ac:dyDescent="0.25">
      <c r="I817" s="4"/>
    </row>
    <row r="818" spans="9:9" x14ac:dyDescent="0.25">
      <c r="I818" s="4"/>
    </row>
    <row r="819" spans="9:9" x14ac:dyDescent="0.25">
      <c r="I819" s="4"/>
    </row>
    <row r="820" spans="9:9" x14ac:dyDescent="0.25">
      <c r="I820" s="4"/>
    </row>
    <row r="821" spans="9:9" x14ac:dyDescent="0.25">
      <c r="I821" s="4"/>
    </row>
    <row r="822" spans="9:9" x14ac:dyDescent="0.25">
      <c r="I822" s="4"/>
    </row>
    <row r="823" spans="9:9" x14ac:dyDescent="0.25">
      <c r="I823" s="4"/>
    </row>
    <row r="824" spans="9:9" x14ac:dyDescent="0.25">
      <c r="I824" s="4"/>
    </row>
    <row r="825" spans="9:9" x14ac:dyDescent="0.25">
      <c r="I825" s="4"/>
    </row>
    <row r="826" spans="9:9" x14ac:dyDescent="0.25">
      <c r="I826" s="4"/>
    </row>
    <row r="827" spans="9:9" x14ac:dyDescent="0.25">
      <c r="I827" s="4"/>
    </row>
    <row r="828" spans="9:9" x14ac:dyDescent="0.25">
      <c r="I828" s="4"/>
    </row>
    <row r="829" spans="9:9" x14ac:dyDescent="0.25">
      <c r="I829" s="4"/>
    </row>
    <row r="830" spans="9:9" x14ac:dyDescent="0.25">
      <c r="I830" s="4"/>
    </row>
    <row r="831" spans="9:9" x14ac:dyDescent="0.25">
      <c r="I831" s="4"/>
    </row>
    <row r="832" spans="9:9" x14ac:dyDescent="0.25">
      <c r="I832" s="4"/>
    </row>
    <row r="833" spans="9:9" x14ac:dyDescent="0.25">
      <c r="I833" s="4"/>
    </row>
    <row r="834" spans="9:9" x14ac:dyDescent="0.25">
      <c r="I834" s="4"/>
    </row>
    <row r="835" spans="9:9" x14ac:dyDescent="0.25">
      <c r="I835" s="4"/>
    </row>
    <row r="836" spans="9:9" x14ac:dyDescent="0.25">
      <c r="I836" s="4"/>
    </row>
    <row r="837" spans="9:9" x14ac:dyDescent="0.25">
      <c r="I837" s="4"/>
    </row>
    <row r="838" spans="9:9" x14ac:dyDescent="0.25">
      <c r="I838" s="4"/>
    </row>
    <row r="839" spans="9:9" x14ac:dyDescent="0.25">
      <c r="I839" s="4"/>
    </row>
    <row r="840" spans="9:9" x14ac:dyDescent="0.25">
      <c r="I840" s="4"/>
    </row>
    <row r="841" spans="9:9" x14ac:dyDescent="0.25">
      <c r="I841" s="4"/>
    </row>
    <row r="842" spans="9:9" x14ac:dyDescent="0.25">
      <c r="I842" s="4"/>
    </row>
    <row r="843" spans="9:9" x14ac:dyDescent="0.25">
      <c r="I843" s="4"/>
    </row>
    <row r="844" spans="9:9" x14ac:dyDescent="0.25">
      <c r="I844" s="4"/>
    </row>
    <row r="845" spans="9:9" x14ac:dyDescent="0.25">
      <c r="I845" s="4"/>
    </row>
    <row r="846" spans="9:9" x14ac:dyDescent="0.25">
      <c r="I846" s="4"/>
    </row>
    <row r="847" spans="9:9" x14ac:dyDescent="0.25">
      <c r="I847" s="4"/>
    </row>
    <row r="848" spans="9:9" x14ac:dyDescent="0.25">
      <c r="I848" s="4"/>
    </row>
    <row r="849" spans="9:9" x14ac:dyDescent="0.25">
      <c r="I849" s="4"/>
    </row>
    <row r="850" spans="9:9" x14ac:dyDescent="0.25">
      <c r="I850" s="4"/>
    </row>
    <row r="851" spans="9:9" x14ac:dyDescent="0.25">
      <c r="I851" s="4"/>
    </row>
    <row r="852" spans="9:9" x14ac:dyDescent="0.25">
      <c r="I852" s="4"/>
    </row>
    <row r="853" spans="9:9" x14ac:dyDescent="0.25">
      <c r="I853" s="4"/>
    </row>
    <row r="854" spans="9:9" x14ac:dyDescent="0.25">
      <c r="I854" s="4"/>
    </row>
    <row r="855" spans="9:9" x14ac:dyDescent="0.25">
      <c r="I855" s="4"/>
    </row>
    <row r="856" spans="9:9" x14ac:dyDescent="0.25">
      <c r="I856" s="4"/>
    </row>
    <row r="857" spans="9:9" x14ac:dyDescent="0.25">
      <c r="I857" s="4"/>
    </row>
    <row r="858" spans="9:9" x14ac:dyDescent="0.25">
      <c r="I858" s="4"/>
    </row>
    <row r="859" spans="9:9" x14ac:dyDescent="0.25">
      <c r="I859" s="4"/>
    </row>
    <row r="860" spans="9:9" x14ac:dyDescent="0.25">
      <c r="I860" s="4"/>
    </row>
    <row r="861" spans="9:9" x14ac:dyDescent="0.25">
      <c r="I861" s="4"/>
    </row>
    <row r="862" spans="9:9" x14ac:dyDescent="0.25">
      <c r="I862" s="4"/>
    </row>
    <row r="863" spans="9:9" x14ac:dyDescent="0.25">
      <c r="I863" s="4"/>
    </row>
    <row r="864" spans="9:9" x14ac:dyDescent="0.25">
      <c r="I864" s="4"/>
    </row>
    <row r="865" spans="9:9" x14ac:dyDescent="0.25">
      <c r="I865" s="4"/>
    </row>
    <row r="866" spans="9:9" x14ac:dyDescent="0.25">
      <c r="I866" s="4"/>
    </row>
    <row r="867" spans="9:9" x14ac:dyDescent="0.25">
      <c r="I867" s="4"/>
    </row>
    <row r="868" spans="9:9" x14ac:dyDescent="0.25">
      <c r="I868" s="4"/>
    </row>
    <row r="869" spans="9:9" x14ac:dyDescent="0.25">
      <c r="I869" s="4"/>
    </row>
    <row r="870" spans="9:9" x14ac:dyDescent="0.25">
      <c r="I870" s="4"/>
    </row>
    <row r="871" spans="9:9" x14ac:dyDescent="0.25">
      <c r="I871" s="4"/>
    </row>
    <row r="872" spans="9:9" x14ac:dyDescent="0.25">
      <c r="I872" s="4"/>
    </row>
    <row r="873" spans="9:9" x14ac:dyDescent="0.25">
      <c r="I873" s="4"/>
    </row>
    <row r="874" spans="9:9" x14ac:dyDescent="0.25">
      <c r="I874" s="4"/>
    </row>
    <row r="875" spans="9:9" x14ac:dyDescent="0.25">
      <c r="I875" s="4"/>
    </row>
    <row r="876" spans="9:9" x14ac:dyDescent="0.25">
      <c r="I876" s="4"/>
    </row>
    <row r="877" spans="9:9" x14ac:dyDescent="0.25">
      <c r="I877" s="4"/>
    </row>
    <row r="878" spans="9:9" x14ac:dyDescent="0.25">
      <c r="I878" s="4"/>
    </row>
    <row r="879" spans="9:9" x14ac:dyDescent="0.25">
      <c r="I879" s="4"/>
    </row>
    <row r="880" spans="9:9" x14ac:dyDescent="0.25">
      <c r="I880" s="4"/>
    </row>
    <row r="881" spans="9:9" x14ac:dyDescent="0.25">
      <c r="I881" s="4"/>
    </row>
    <row r="882" spans="9:9" x14ac:dyDescent="0.25">
      <c r="I882" s="4"/>
    </row>
    <row r="883" spans="9:9" x14ac:dyDescent="0.25">
      <c r="I883" s="4"/>
    </row>
    <row r="884" spans="9:9" x14ac:dyDescent="0.25">
      <c r="I884" s="4"/>
    </row>
    <row r="885" spans="9:9" x14ac:dyDescent="0.25">
      <c r="I885" s="4"/>
    </row>
    <row r="886" spans="9:9" x14ac:dyDescent="0.25">
      <c r="I886" s="4"/>
    </row>
    <row r="887" spans="9:9" x14ac:dyDescent="0.25">
      <c r="I887" s="4"/>
    </row>
    <row r="888" spans="9:9" x14ac:dyDescent="0.25">
      <c r="I888" s="4"/>
    </row>
    <row r="889" spans="9:9" x14ac:dyDescent="0.25">
      <c r="I889" s="4"/>
    </row>
    <row r="890" spans="9:9" x14ac:dyDescent="0.25">
      <c r="I890" s="4"/>
    </row>
    <row r="891" spans="9:9" x14ac:dyDescent="0.25">
      <c r="I891" s="4"/>
    </row>
    <row r="892" spans="9:9" x14ac:dyDescent="0.25">
      <c r="I892" s="4"/>
    </row>
    <row r="893" spans="9:9" x14ac:dyDescent="0.25">
      <c r="I893" s="4"/>
    </row>
    <row r="894" spans="9:9" x14ac:dyDescent="0.25">
      <c r="I894" s="4"/>
    </row>
    <row r="895" spans="9:9" x14ac:dyDescent="0.25">
      <c r="I895" s="4"/>
    </row>
    <row r="896" spans="9:9" x14ac:dyDescent="0.25">
      <c r="I896" s="4"/>
    </row>
    <row r="897" spans="9:9" x14ac:dyDescent="0.25">
      <c r="I897" s="4"/>
    </row>
    <row r="898" spans="9:9" x14ac:dyDescent="0.25">
      <c r="I898" s="4"/>
    </row>
    <row r="899" spans="9:9" x14ac:dyDescent="0.25">
      <c r="I899" s="4"/>
    </row>
    <row r="900" spans="9:9" x14ac:dyDescent="0.25">
      <c r="I900" s="4"/>
    </row>
    <row r="901" spans="9:9" x14ac:dyDescent="0.25">
      <c r="I901" s="4"/>
    </row>
    <row r="902" spans="9:9" x14ac:dyDescent="0.25">
      <c r="I902" s="4"/>
    </row>
    <row r="903" spans="9:9" x14ac:dyDescent="0.25">
      <c r="I903" s="4"/>
    </row>
    <row r="904" spans="9:9" x14ac:dyDescent="0.25">
      <c r="I904" s="4"/>
    </row>
    <row r="905" spans="9:9" x14ac:dyDescent="0.25">
      <c r="I905" s="4"/>
    </row>
    <row r="906" spans="9:9" x14ac:dyDescent="0.25">
      <c r="I906" s="4"/>
    </row>
    <row r="907" spans="9:9" x14ac:dyDescent="0.25">
      <c r="I907" s="4"/>
    </row>
    <row r="908" spans="9:9" x14ac:dyDescent="0.25">
      <c r="I908" s="4"/>
    </row>
    <row r="909" spans="9:9" x14ac:dyDescent="0.25">
      <c r="I909" s="4"/>
    </row>
    <row r="910" spans="9:9" x14ac:dyDescent="0.25">
      <c r="I910" s="4"/>
    </row>
    <row r="911" spans="9:9" x14ac:dyDescent="0.25">
      <c r="I911" s="4"/>
    </row>
    <row r="912" spans="9:9" x14ac:dyDescent="0.25">
      <c r="I912" s="4"/>
    </row>
    <row r="913" spans="9:9" x14ac:dyDescent="0.25">
      <c r="I913" s="4"/>
    </row>
    <row r="914" spans="9:9" x14ac:dyDescent="0.25">
      <c r="I914" s="4"/>
    </row>
    <row r="915" spans="9:9" x14ac:dyDescent="0.25">
      <c r="I915" s="4"/>
    </row>
    <row r="916" spans="9:9" x14ac:dyDescent="0.25">
      <c r="I916" s="4"/>
    </row>
    <row r="917" spans="9:9" x14ac:dyDescent="0.25">
      <c r="I917" s="4"/>
    </row>
    <row r="918" spans="9:9" x14ac:dyDescent="0.25">
      <c r="I918" s="4"/>
    </row>
    <row r="919" spans="9:9" x14ac:dyDescent="0.25">
      <c r="I919" s="4"/>
    </row>
    <row r="920" spans="9:9" x14ac:dyDescent="0.25">
      <c r="I920" s="4"/>
    </row>
    <row r="921" spans="9:9" x14ac:dyDescent="0.25">
      <c r="I921" s="4"/>
    </row>
    <row r="922" spans="9:9" x14ac:dyDescent="0.25">
      <c r="I922" s="4"/>
    </row>
    <row r="923" spans="9:9" x14ac:dyDescent="0.25">
      <c r="I923" s="4"/>
    </row>
    <row r="924" spans="9:9" x14ac:dyDescent="0.25">
      <c r="I924" s="4"/>
    </row>
    <row r="925" spans="9:9" x14ac:dyDescent="0.25">
      <c r="I925" s="4"/>
    </row>
    <row r="926" spans="9:9" x14ac:dyDescent="0.25">
      <c r="I926" s="4"/>
    </row>
    <row r="927" spans="9:9" x14ac:dyDescent="0.25">
      <c r="I927" s="4"/>
    </row>
    <row r="928" spans="9:9" x14ac:dyDescent="0.25">
      <c r="I928" s="4"/>
    </row>
    <row r="929" spans="9:9" x14ac:dyDescent="0.25">
      <c r="I929" s="4"/>
    </row>
    <row r="930" spans="9:9" x14ac:dyDescent="0.25">
      <c r="I930" s="4"/>
    </row>
    <row r="931" spans="9:9" x14ac:dyDescent="0.25">
      <c r="I931" s="4"/>
    </row>
    <row r="932" spans="9:9" x14ac:dyDescent="0.25">
      <c r="I932" s="4"/>
    </row>
    <row r="933" spans="9:9" x14ac:dyDescent="0.25">
      <c r="I933" s="4"/>
    </row>
    <row r="934" spans="9:9" x14ac:dyDescent="0.25">
      <c r="I934" s="4"/>
    </row>
    <row r="935" spans="9:9" x14ac:dyDescent="0.25">
      <c r="I935" s="4"/>
    </row>
    <row r="936" spans="9:9" x14ac:dyDescent="0.25">
      <c r="I936" s="4"/>
    </row>
    <row r="937" spans="9:9" x14ac:dyDescent="0.25">
      <c r="I937" s="4"/>
    </row>
    <row r="938" spans="9:9" x14ac:dyDescent="0.25">
      <c r="I938" s="4"/>
    </row>
    <row r="939" spans="9:9" x14ac:dyDescent="0.25">
      <c r="I939" s="4"/>
    </row>
    <row r="940" spans="9:9" x14ac:dyDescent="0.25">
      <c r="I940" s="4"/>
    </row>
    <row r="941" spans="9:9" x14ac:dyDescent="0.25">
      <c r="I941" s="4"/>
    </row>
    <row r="942" spans="9:9" x14ac:dyDescent="0.25">
      <c r="I942" s="4"/>
    </row>
    <row r="943" spans="9:9" x14ac:dyDescent="0.25">
      <c r="I943" s="4"/>
    </row>
    <row r="944" spans="9:9" x14ac:dyDescent="0.25">
      <c r="I944" s="4"/>
    </row>
    <row r="945" spans="9:9" x14ac:dyDescent="0.25">
      <c r="I945" s="4"/>
    </row>
    <row r="946" spans="9:9" x14ac:dyDescent="0.25">
      <c r="I946" s="4"/>
    </row>
    <row r="947" spans="9:9" x14ac:dyDescent="0.25">
      <c r="I947" s="4"/>
    </row>
    <row r="948" spans="9:9" x14ac:dyDescent="0.25">
      <c r="I948" s="4"/>
    </row>
    <row r="949" spans="9:9" x14ac:dyDescent="0.25">
      <c r="I949" s="4"/>
    </row>
    <row r="950" spans="9:9" x14ac:dyDescent="0.25">
      <c r="I950" s="4"/>
    </row>
    <row r="951" spans="9:9" x14ac:dyDescent="0.25">
      <c r="I951" s="4"/>
    </row>
    <row r="952" spans="9:9" x14ac:dyDescent="0.25">
      <c r="I952" s="4"/>
    </row>
    <row r="953" spans="9:9" x14ac:dyDescent="0.25">
      <c r="I953" s="4"/>
    </row>
    <row r="954" spans="9:9" x14ac:dyDescent="0.25">
      <c r="I954" s="4"/>
    </row>
    <row r="955" spans="9:9" x14ac:dyDescent="0.25">
      <c r="I955" s="4"/>
    </row>
    <row r="956" spans="9:9" x14ac:dyDescent="0.25">
      <c r="I956" s="4"/>
    </row>
    <row r="957" spans="9:9" x14ac:dyDescent="0.25">
      <c r="I957" s="4"/>
    </row>
    <row r="958" spans="9:9" x14ac:dyDescent="0.25">
      <c r="I958" s="4"/>
    </row>
    <row r="959" spans="9:9" x14ac:dyDescent="0.25">
      <c r="I959" s="4"/>
    </row>
    <row r="960" spans="9:9" x14ac:dyDescent="0.25">
      <c r="I960" s="4"/>
    </row>
    <row r="961" spans="9:9" x14ac:dyDescent="0.25">
      <c r="I961" s="4"/>
    </row>
    <row r="962" spans="9:9" x14ac:dyDescent="0.25">
      <c r="I962" s="4"/>
    </row>
    <row r="963" spans="9:9" x14ac:dyDescent="0.25">
      <c r="I963" s="4"/>
    </row>
    <row r="964" spans="9:9" x14ac:dyDescent="0.25">
      <c r="I964" s="4"/>
    </row>
    <row r="965" spans="9:9" x14ac:dyDescent="0.25">
      <c r="I965" s="4"/>
    </row>
    <row r="966" spans="9:9" x14ac:dyDescent="0.25">
      <c r="I966" s="4"/>
    </row>
    <row r="967" spans="9:9" x14ac:dyDescent="0.25">
      <c r="I967" s="4"/>
    </row>
    <row r="968" spans="9:9" x14ac:dyDescent="0.25">
      <c r="I968" s="4"/>
    </row>
    <row r="969" spans="9:9" x14ac:dyDescent="0.25">
      <c r="I969" s="4"/>
    </row>
    <row r="970" spans="9:9" x14ac:dyDescent="0.25">
      <c r="I970" s="4"/>
    </row>
    <row r="971" spans="9:9" x14ac:dyDescent="0.25">
      <c r="I971" s="4"/>
    </row>
    <row r="972" spans="9:9" x14ac:dyDescent="0.25">
      <c r="I972" s="4"/>
    </row>
    <row r="973" spans="9:9" x14ac:dyDescent="0.25">
      <c r="I973" s="4"/>
    </row>
    <row r="974" spans="9:9" x14ac:dyDescent="0.25">
      <c r="I974" s="4"/>
    </row>
    <row r="975" spans="9:9" x14ac:dyDescent="0.25">
      <c r="I975" s="4"/>
    </row>
    <row r="976" spans="9:9" x14ac:dyDescent="0.25">
      <c r="I976" s="4"/>
    </row>
    <row r="977" spans="9:9" x14ac:dyDescent="0.25">
      <c r="I977" s="4"/>
    </row>
    <row r="978" spans="9:9" x14ac:dyDescent="0.25">
      <c r="I978" s="4"/>
    </row>
    <row r="979" spans="9:9" x14ac:dyDescent="0.25">
      <c r="I979" s="4"/>
    </row>
    <row r="980" spans="9:9" x14ac:dyDescent="0.25">
      <c r="I980" s="4"/>
    </row>
    <row r="981" spans="9:9" x14ac:dyDescent="0.25">
      <c r="I981" s="4"/>
    </row>
    <row r="982" spans="9:9" x14ac:dyDescent="0.25">
      <c r="I982" s="4"/>
    </row>
    <row r="983" spans="9:9" x14ac:dyDescent="0.25">
      <c r="I983" s="4"/>
    </row>
    <row r="984" spans="9:9" x14ac:dyDescent="0.25">
      <c r="I984" s="4"/>
    </row>
    <row r="985" spans="9:9" x14ac:dyDescent="0.25">
      <c r="I985" s="4"/>
    </row>
    <row r="986" spans="9:9" x14ac:dyDescent="0.25">
      <c r="I986" s="4"/>
    </row>
    <row r="987" spans="9:9" x14ac:dyDescent="0.25">
      <c r="I987" s="4"/>
    </row>
    <row r="988" spans="9:9" x14ac:dyDescent="0.25">
      <c r="I988" s="4"/>
    </row>
    <row r="989" spans="9:9" x14ac:dyDescent="0.25">
      <c r="I989" s="4"/>
    </row>
    <row r="990" spans="9:9" x14ac:dyDescent="0.25">
      <c r="I990" s="4"/>
    </row>
    <row r="991" spans="9:9" x14ac:dyDescent="0.25">
      <c r="I991" s="4"/>
    </row>
    <row r="992" spans="9:9" x14ac:dyDescent="0.25">
      <c r="I992" s="4"/>
    </row>
    <row r="993" spans="9:9" x14ac:dyDescent="0.25">
      <c r="I993" s="4"/>
    </row>
    <row r="994" spans="9:9" x14ac:dyDescent="0.25">
      <c r="I994" s="4"/>
    </row>
    <row r="995" spans="9:9" x14ac:dyDescent="0.25">
      <c r="I995" s="4"/>
    </row>
    <row r="996" spans="9:9" x14ac:dyDescent="0.25">
      <c r="I996" s="4"/>
    </row>
    <row r="997" spans="9:9" x14ac:dyDescent="0.25">
      <c r="I997" s="4"/>
    </row>
    <row r="998" spans="9:9" x14ac:dyDescent="0.25">
      <c r="I998" s="4"/>
    </row>
    <row r="999" spans="9:9" x14ac:dyDescent="0.25">
      <c r="I999" s="4"/>
    </row>
    <row r="1000" spans="9:9" x14ac:dyDescent="0.25">
      <c r="I10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" width="9.285714285714286" customWidth="1"/>
    <col min="2" max="2" width="42.142857142857146" customWidth="1"/>
    <col min="3" max="5" width="9.285714285714286" customWidth="1"/>
    <col min="6" max="6" width="13.571428571428571" customWidth="1"/>
    <col min="7" max="11" width="9.285714285714286" customWidth="1"/>
    <col min="12" max="24" width="13.571428571428571" customWidth="1"/>
  </cols>
  <sheetData>
    <row r="1" spans="1:13" x14ac:dyDescent="0.25">
      <c r="A1" s="1" t="s">
        <v>96</v>
      </c>
      <c r="B1" s="1" t="s">
        <v>150</v>
      </c>
      <c r="C1" s="1" t="s">
        <v>26</v>
      </c>
      <c r="D1" s="1" t="s">
        <v>117</v>
      </c>
      <c r="E1" s="6" t="s">
        <v>37</v>
      </c>
      <c r="F1" s="6" t="s">
        <v>38</v>
      </c>
      <c r="G1" s="6" t="s">
        <v>110</v>
      </c>
      <c r="H1" s="7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</row>
    <row r="2" spans="1:13" x14ac:dyDescent="0.25">
      <c r="A2" s="1">
        <v>1</v>
      </c>
      <c r="B2" s="1" t="s">
        <v>151</v>
      </c>
      <c r="E2" s="3" t="s">
        <v>126</v>
      </c>
      <c r="F2" s="3" t="s">
        <v>127</v>
      </c>
      <c r="G2" s="3"/>
      <c r="H2" s="8" t="s">
        <v>128</v>
      </c>
      <c r="I2" s="3" t="s">
        <v>129</v>
      </c>
      <c r="J2" s="3" t="s">
        <v>130</v>
      </c>
      <c r="K2" s="3" t="s">
        <v>131</v>
      </c>
      <c r="L2" s="6" t="s">
        <v>132</v>
      </c>
      <c r="M2" s="6" t="s">
        <v>132</v>
      </c>
    </row>
    <row r="3" spans="1:13" x14ac:dyDescent="0.25">
      <c r="A3" s="1">
        <v>2</v>
      </c>
      <c r="B3" s="1" t="s">
        <v>152</v>
      </c>
      <c r="E3" s="3" t="s">
        <v>126</v>
      </c>
      <c r="F3" s="3" t="s">
        <v>127</v>
      </c>
      <c r="G3" s="3"/>
      <c r="H3" s="7" t="s">
        <v>136</v>
      </c>
      <c r="I3" s="3" t="s">
        <v>129</v>
      </c>
      <c r="J3" s="3" t="s">
        <v>130</v>
      </c>
      <c r="K3" s="3" t="s">
        <v>131</v>
      </c>
      <c r="L3" s="6" t="s">
        <v>132</v>
      </c>
      <c r="M3" s="6" t="s">
        <v>132</v>
      </c>
    </row>
    <row r="4" spans="1:13" x14ac:dyDescent="0.25">
      <c r="A4" s="1">
        <v>3</v>
      </c>
      <c r="B4" s="1">
        <f> i A
R o
S
'\
ngg I R R S SR R RS RAG
Płacisz koszty leczenia
w wysokości 20'r.
50 £
„ „
3
?ﬁ[[_\"’; T7 E Z SE TP Z SE T Ry PFE ZE E "Z .</f>
      </c>
      <c r="E4" s="3" t="s">
        <v>126</v>
      </c>
      <c r="F4" s="3" t="s">
        <v>127</v>
      </c>
      <c r="G4" s="3"/>
      <c r="H4" s="7" t="s">
        <v>136</v>
      </c>
      <c r="I4" s="3" t="s">
        <v>129</v>
      </c>
      <c r="J4" s="3" t="s">
        <v>130</v>
      </c>
      <c r="K4" s="3" t="s">
        <v>131</v>
      </c>
      <c r="L4" s="6" t="s">
        <v>132</v>
      </c>
      <c r="M4" s="6" t="s">
        <v>132</v>
      </c>
    </row>
    <row r="5" spans="1:13" x14ac:dyDescent="0.25">
      <c r="A5" s="1">
        <v>4</v>
      </c>
      <c r="B5" s="1" t="s">
        <v>153</v>
      </c>
      <c r="E5" s="3" t="s">
        <v>126</v>
      </c>
      <c r="F5" s="3" t="s">
        <v>127</v>
      </c>
      <c r="G5" s="3"/>
      <c r="H5" s="7" t="s">
        <v>136</v>
      </c>
      <c r="I5" s="3" t="s">
        <v>129</v>
      </c>
      <c r="J5" s="3" t="s">
        <v>130</v>
      </c>
      <c r="K5" s="3" t="s">
        <v>131</v>
      </c>
      <c r="L5" s="6" t="s">
        <v>132</v>
      </c>
      <c r="M5" s="6" t="s">
        <v>132</v>
      </c>
    </row>
    <row r="6" spans="1:13" x14ac:dyDescent="0.25">
      <c r="A6" s="1">
        <v>5</v>
      </c>
      <c r="B6" s="1" t="s">
        <v>154</v>
      </c>
      <c r="E6" s="3" t="s">
        <v>126</v>
      </c>
      <c r="F6" s="3" t="s">
        <v>127</v>
      </c>
      <c r="G6" s="3"/>
      <c r="H6" s="7" t="s">
        <v>136</v>
      </c>
      <c r="I6" s="3" t="s">
        <v>129</v>
      </c>
      <c r="J6" s="3" t="s">
        <v>130</v>
      </c>
      <c r="K6" s="3" t="s">
        <v>131</v>
      </c>
      <c r="L6" s="6" t="s">
        <v>132</v>
      </c>
      <c r="M6" s="6" t="s">
        <v>132</v>
      </c>
    </row>
    <row r="7" spans="1:13" x14ac:dyDescent="0.25">
      <c r="A7" s="1">
        <v>6</v>
      </c>
      <c r="B7" s="1" t="s">
        <v>155</v>
      </c>
      <c r="E7" s="3" t="s">
        <v>126</v>
      </c>
      <c r="F7" s="3" t="s">
        <v>127</v>
      </c>
      <c r="G7" s="3"/>
      <c r="H7" s="7" t="s">
        <v>136</v>
      </c>
      <c r="I7" s="3" t="s">
        <v>129</v>
      </c>
      <c r="J7" s="3" t="s">
        <v>130</v>
      </c>
      <c r="K7" s="3" t="s">
        <v>131</v>
      </c>
      <c r="L7" s="6" t="s">
        <v>132</v>
      </c>
      <c r="M7" s="6" t="s">
        <v>132</v>
      </c>
    </row>
    <row r="8" spans="1:13" x14ac:dyDescent="0.25">
      <c r="A8" s="1">
        <v>7</v>
      </c>
      <c r="B8" s="1" t="s">
        <v>156</v>
      </c>
      <c r="E8" s="3" t="s">
        <v>126</v>
      </c>
      <c r="F8" s="3" t="s">
        <v>127</v>
      </c>
      <c r="G8" s="3"/>
      <c r="H8" s="7" t="s">
        <v>136</v>
      </c>
      <c r="I8" s="3" t="s">
        <v>129</v>
      </c>
      <c r="J8" s="3" t="s">
        <v>130</v>
      </c>
      <c r="K8" s="3" t="s">
        <v>131</v>
      </c>
      <c r="L8" s="6" t="s">
        <v>132</v>
      </c>
      <c r="M8" s="6" t="s">
        <v>132</v>
      </c>
    </row>
    <row r="9" spans="1:13" x14ac:dyDescent="0.25">
      <c r="A9" s="1">
        <v>8</v>
      </c>
      <c r="B9" s="1" t="s">
        <v>157</v>
      </c>
      <c r="E9" s="3" t="s">
        <v>126</v>
      </c>
      <c r="F9" s="3" t="s">
        <v>127</v>
      </c>
      <c r="G9" s="3"/>
      <c r="H9" s="7" t="s">
        <v>136</v>
      </c>
      <c r="I9" s="3" t="s">
        <v>129</v>
      </c>
      <c r="J9" s="3" t="s">
        <v>130</v>
      </c>
      <c r="K9" s="3" t="s">
        <v>131</v>
      </c>
      <c r="L9" s="6" t="s">
        <v>132</v>
      </c>
      <c r="M9" s="6" t="s">
        <v>132</v>
      </c>
    </row>
    <row r="10" spans="1:13" x14ac:dyDescent="0.25">
      <c r="A10" s="1">
        <v>9</v>
      </c>
      <c r="B10" s="1" t="s">
        <v>158</v>
      </c>
      <c r="E10" s="3" t="s">
        <v>126</v>
      </c>
      <c r="F10" s="3" t="s">
        <v>127</v>
      </c>
      <c r="G10" s="3"/>
      <c r="H10" s="7" t="s">
        <v>136</v>
      </c>
      <c r="I10" s="3" t="s">
        <v>129</v>
      </c>
      <c r="J10" s="3" t="s">
        <v>130</v>
      </c>
      <c r="K10" s="3" t="s">
        <v>131</v>
      </c>
      <c r="L10" s="6" t="s">
        <v>132</v>
      </c>
      <c r="M10" s="6" t="s">
        <v>132</v>
      </c>
    </row>
    <row r="11" spans="1:13" x14ac:dyDescent="0.25">
      <c r="A11" s="1">
        <v>10</v>
      </c>
      <c r="B11" s="1" t="s">
        <v>159</v>
      </c>
      <c r="E11" s="3" t="s">
        <v>126</v>
      </c>
      <c r="F11" s="3" t="s">
        <v>127</v>
      </c>
      <c r="G11" s="3"/>
      <c r="H11" s="7" t="s">
        <v>136</v>
      </c>
      <c r="I11" s="3" t="s">
        <v>129</v>
      </c>
      <c r="J11" s="3" t="s">
        <v>130</v>
      </c>
      <c r="K11" s="3" t="s">
        <v>131</v>
      </c>
      <c r="L11" s="6" t="s">
        <v>132</v>
      </c>
      <c r="M11" s="6" t="s">
        <v>132</v>
      </c>
    </row>
    <row r="12" spans="1:13" x14ac:dyDescent="0.25">
      <c r="A12" s="1">
        <v>11</v>
      </c>
      <c r="B12" s="1" t="s">
        <v>160</v>
      </c>
      <c r="E12" s="3" t="s">
        <v>126</v>
      </c>
      <c r="F12" s="3" t="s">
        <v>127</v>
      </c>
      <c r="G12" s="3"/>
      <c r="H12" s="7" t="s">
        <v>136</v>
      </c>
      <c r="I12" s="3" t="s">
        <v>129</v>
      </c>
      <c r="J12" s="3" t="s">
        <v>130</v>
      </c>
      <c r="K12" s="3" t="s">
        <v>131</v>
      </c>
      <c r="L12" s="6" t="s">
        <v>132</v>
      </c>
      <c r="M12" s="6" t="s">
        <v>132</v>
      </c>
    </row>
    <row r="13" spans="1:13" x14ac:dyDescent="0.25">
      <c r="A13" s="1">
        <v>12</v>
      </c>
      <c r="B13" s="1" t="s">
        <v>161</v>
      </c>
      <c r="E13" s="3" t="s">
        <v>126</v>
      </c>
      <c r="F13" s="3" t="s">
        <v>127</v>
      </c>
      <c r="G13" s="3"/>
      <c r="H13" s="7" t="s">
        <v>136</v>
      </c>
      <c r="I13" s="3" t="s">
        <v>129</v>
      </c>
      <c r="J13" s="3" t="s">
        <v>130</v>
      </c>
      <c r="K13" s="3" t="s">
        <v>131</v>
      </c>
      <c r="L13" s="6" t="s">
        <v>132</v>
      </c>
      <c r="M13" s="6" t="s">
        <v>132</v>
      </c>
    </row>
    <row r="14" spans="1:13" x14ac:dyDescent="0.25">
      <c r="A14" s="1">
        <v>13</v>
      </c>
      <c r="B14" s="1" t="s">
        <v>162</v>
      </c>
      <c r="E14" s="3" t="s">
        <v>126</v>
      </c>
      <c r="F14" s="3" t="s">
        <v>127</v>
      </c>
      <c r="G14" s="3"/>
      <c r="H14" s="7" t="s">
        <v>136</v>
      </c>
      <c r="I14" s="3" t="s">
        <v>129</v>
      </c>
      <c r="J14" s="3" t="s">
        <v>130</v>
      </c>
      <c r="K14" s="3" t="s">
        <v>131</v>
      </c>
      <c r="L14" s="6" t="s">
        <v>132</v>
      </c>
      <c r="M14" s="6" t="s">
        <v>132</v>
      </c>
    </row>
    <row r="15" spans="1:13" x14ac:dyDescent="0.25">
      <c r="A15" s="1">
        <v>14</v>
      </c>
      <c r="B15" s="1" t="s">
        <v>163</v>
      </c>
      <c r="E15" s="3" t="s">
        <v>126</v>
      </c>
      <c r="F15" s="3" t="s">
        <v>127</v>
      </c>
      <c r="G15" s="3"/>
      <c r="H15" s="7" t="s">
        <v>136</v>
      </c>
      <c r="I15" s="3" t="s">
        <v>129</v>
      </c>
      <c r="J15" s="3" t="s">
        <v>130</v>
      </c>
      <c r="K15" s="3" t="s">
        <v>131</v>
      </c>
      <c r="L15" s="6" t="s">
        <v>132</v>
      </c>
      <c r="M15" s="6" t="s">
        <v>132</v>
      </c>
    </row>
    <row r="16" spans="1:13" x14ac:dyDescent="0.25">
      <c r="A16" s="1">
        <v>15</v>
      </c>
      <c r="B16" s="1" t="s">
        <v>164</v>
      </c>
      <c r="E16" s="3" t="s">
        <v>126</v>
      </c>
      <c r="F16" s="3" t="s">
        <v>127</v>
      </c>
      <c r="G16" s="3"/>
      <c r="H16" s="7" t="s">
        <v>136</v>
      </c>
      <c r="I16" s="3" t="s">
        <v>129</v>
      </c>
      <c r="J16" s="3" t="s">
        <v>130</v>
      </c>
      <c r="K16" s="3" t="s">
        <v>131</v>
      </c>
      <c r="L16" s="6" t="s">
        <v>132</v>
      </c>
      <c r="M16" s="6" t="s">
        <v>132</v>
      </c>
    </row>
    <row r="17" spans="5:13" x14ac:dyDescent="0.25">
      <c r="E17" s="3" t="s">
        <v>126</v>
      </c>
      <c r="F17" s="3" t="s">
        <v>127</v>
      </c>
      <c r="G17" s="3"/>
      <c r="H17" s="7" t="s">
        <v>136</v>
      </c>
      <c r="I17" s="3" t="s">
        <v>129</v>
      </c>
      <c r="J17" s="3" t="s">
        <v>130</v>
      </c>
      <c r="K17" s="3" t="s">
        <v>131</v>
      </c>
      <c r="L17" s="6" t="s">
        <v>132</v>
      </c>
      <c r="M17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" width="9.285714285714286" customWidth="1"/>
    <col min="2" max="2" width="29.142857142857142" customWidth="1"/>
    <col min="3" max="5" width="9.285714285714286" customWidth="1"/>
    <col min="6" max="6" width="13.571428571428571" customWidth="1"/>
    <col min="7" max="10" width="9.285714285714286" customWidth="1"/>
    <col min="11" max="11" width="10.285714285714286" customWidth="1"/>
    <col min="12" max="24" width="13.571428571428571" customWidth="1"/>
  </cols>
  <sheetData>
    <row r="1" spans="1:13" x14ac:dyDescent="0.25">
      <c r="A1" s="1" t="s">
        <v>96</v>
      </c>
      <c r="B1" s="1" t="s">
        <v>150</v>
      </c>
      <c r="C1" s="1" t="s">
        <v>26</v>
      </c>
      <c r="D1" s="1" t="s">
        <v>117</v>
      </c>
      <c r="E1" s="6" t="s">
        <v>37</v>
      </c>
      <c r="F1" s="6" t="s">
        <v>38</v>
      </c>
      <c r="G1" s="6" t="s">
        <v>110</v>
      </c>
      <c r="H1" s="7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</row>
    <row r="2" spans="1:13" x14ac:dyDescent="0.25">
      <c r="A2" s="1">
        <v>1</v>
      </c>
      <c r="B2" s="1" t="s">
        <v>165</v>
      </c>
      <c r="E2" s="3" t="s">
        <v>126</v>
      </c>
      <c r="F2" s="3" t="s">
        <v>127</v>
      </c>
      <c r="G2" s="3"/>
      <c r="H2" s="8" t="s">
        <v>128</v>
      </c>
      <c r="I2" s="3" t="s">
        <v>129</v>
      </c>
      <c r="J2" s="3" t="s">
        <v>130</v>
      </c>
      <c r="K2" s="3" t="s">
        <v>131</v>
      </c>
      <c r="L2" s="6" t="s">
        <v>132</v>
      </c>
      <c r="M2" s="6" t="s">
        <v>132</v>
      </c>
    </row>
    <row r="3" spans="1:13" x14ac:dyDescent="0.25">
      <c r="A3" s="1">
        <v>2</v>
      </c>
      <c r="B3" s="1" t="s">
        <v>166</v>
      </c>
      <c r="E3" s="3" t="s">
        <v>126</v>
      </c>
      <c r="F3" s="3" t="s">
        <v>127</v>
      </c>
      <c r="G3" s="3"/>
      <c r="H3" s="7" t="s">
        <v>136</v>
      </c>
      <c r="I3" s="3" t="s">
        <v>129</v>
      </c>
      <c r="J3" s="3" t="s">
        <v>130</v>
      </c>
      <c r="K3" s="3" t="s">
        <v>131</v>
      </c>
      <c r="L3" s="6" t="s">
        <v>132</v>
      </c>
      <c r="M3" s="6" t="s">
        <v>132</v>
      </c>
    </row>
    <row r="4" spans="1:13" x14ac:dyDescent="0.25">
      <c r="A4" s="1">
        <v>3</v>
      </c>
      <c r="B4" s="1" t="s">
        <v>167</v>
      </c>
      <c r="E4" s="3" t="s">
        <v>126</v>
      </c>
      <c r="F4" s="3" t="s">
        <v>127</v>
      </c>
      <c r="G4" s="3"/>
      <c r="H4" s="7" t="s">
        <v>136</v>
      </c>
      <c r="I4" s="3" t="s">
        <v>129</v>
      </c>
      <c r="J4" s="3" t="s">
        <v>130</v>
      </c>
      <c r="K4" s="3" t="s">
        <v>131</v>
      </c>
      <c r="L4" s="6" t="s">
        <v>132</v>
      </c>
      <c r="M4" s="6" t="s">
        <v>132</v>
      </c>
    </row>
    <row r="5" spans="1:13" x14ac:dyDescent="0.25">
      <c r="A5" s="1">
        <v>4</v>
      </c>
      <c r="B5" s="1" t="s">
        <v>168</v>
      </c>
      <c r="E5" s="3" t="s">
        <v>126</v>
      </c>
      <c r="F5" s="3" t="s">
        <v>127</v>
      </c>
      <c r="G5" s="3"/>
      <c r="H5" s="7" t="s">
        <v>136</v>
      </c>
      <c r="I5" s="3" t="s">
        <v>129</v>
      </c>
      <c r="J5" s="3" t="s">
        <v>130</v>
      </c>
      <c r="K5" s="3" t="s">
        <v>131</v>
      </c>
      <c r="L5" s="6" t="s">
        <v>132</v>
      </c>
      <c r="M5" s="6" t="s">
        <v>132</v>
      </c>
    </row>
    <row r="6" spans="1:13" x14ac:dyDescent="0.25">
      <c r="A6" s="1">
        <v>5</v>
      </c>
      <c r="B6" s="1" t="s">
        <v>169</v>
      </c>
      <c r="E6" s="3" t="s">
        <v>126</v>
      </c>
      <c r="F6" s="3" t="s">
        <v>127</v>
      </c>
      <c r="G6" s="3"/>
      <c r="H6" s="7" t="s">
        <v>136</v>
      </c>
      <c r="I6" s="3" t="s">
        <v>129</v>
      </c>
      <c r="J6" s="3" t="s">
        <v>130</v>
      </c>
      <c r="K6" s="3" t="s">
        <v>131</v>
      </c>
      <c r="L6" s="6" t="s">
        <v>132</v>
      </c>
      <c r="M6" s="6" t="s">
        <v>132</v>
      </c>
    </row>
    <row r="7" spans="1:13" x14ac:dyDescent="0.25">
      <c r="A7" s="1">
        <v>6</v>
      </c>
      <c r="B7" s="1" t="s">
        <v>170</v>
      </c>
      <c r="E7" s="3" t="s">
        <v>126</v>
      </c>
      <c r="F7" s="3" t="s">
        <v>127</v>
      </c>
      <c r="G7" s="3"/>
      <c r="H7" s="7" t="s">
        <v>136</v>
      </c>
      <c r="I7" s="3" t="s">
        <v>129</v>
      </c>
      <c r="J7" s="3" t="s">
        <v>130</v>
      </c>
      <c r="K7" s="3" t="s">
        <v>131</v>
      </c>
      <c r="L7" s="6" t="s">
        <v>132</v>
      </c>
      <c r="M7" s="6" t="s">
        <v>132</v>
      </c>
    </row>
    <row r="8" spans="1:13" x14ac:dyDescent="0.25">
      <c r="A8" s="1">
        <v>7</v>
      </c>
      <c r="B8" s="1" t="s">
        <v>171</v>
      </c>
      <c r="E8" s="3" t="s">
        <v>126</v>
      </c>
      <c r="F8" s="3" t="s">
        <v>127</v>
      </c>
      <c r="G8" s="3"/>
      <c r="H8" s="7" t="s">
        <v>136</v>
      </c>
      <c r="I8" s="3" t="s">
        <v>129</v>
      </c>
      <c r="J8" s="3" t="s">
        <v>130</v>
      </c>
      <c r="K8" s="3" t="s">
        <v>131</v>
      </c>
      <c r="L8" s="6" t="s">
        <v>132</v>
      </c>
      <c r="M8" s="6" t="s">
        <v>132</v>
      </c>
    </row>
    <row r="9" spans="1:13" x14ac:dyDescent="0.25">
      <c r="A9" s="1">
        <v>8</v>
      </c>
      <c r="B9" s="1" t="s">
        <v>172</v>
      </c>
      <c r="E9" s="3" t="s">
        <v>126</v>
      </c>
      <c r="F9" s="3" t="s">
        <v>127</v>
      </c>
      <c r="G9" s="3"/>
      <c r="H9" s="7" t="s">
        <v>136</v>
      </c>
      <c r="I9" s="3" t="s">
        <v>129</v>
      </c>
      <c r="J9" s="3" t="s">
        <v>130</v>
      </c>
      <c r="K9" s="3" t="s">
        <v>131</v>
      </c>
      <c r="L9" s="6" t="s">
        <v>132</v>
      </c>
      <c r="M9" s="6" t="s">
        <v>132</v>
      </c>
    </row>
    <row r="10" spans="1:13" x14ac:dyDescent="0.25">
      <c r="A10" s="1">
        <v>9</v>
      </c>
      <c r="B10" s="1" t="s">
        <v>173</v>
      </c>
      <c r="E10" s="3" t="s">
        <v>126</v>
      </c>
      <c r="F10" s="3" t="s">
        <v>127</v>
      </c>
      <c r="G10" s="3"/>
      <c r="H10" s="7" t="s">
        <v>136</v>
      </c>
      <c r="I10" s="3" t="s">
        <v>129</v>
      </c>
      <c r="J10" s="3" t="s">
        <v>130</v>
      </c>
      <c r="K10" s="3" t="s">
        <v>131</v>
      </c>
      <c r="L10" s="6" t="s">
        <v>132</v>
      </c>
      <c r="M10" s="6" t="s">
        <v>132</v>
      </c>
    </row>
    <row r="11" spans="1:13" x14ac:dyDescent="0.25">
      <c r="A11" s="1">
        <v>10</v>
      </c>
      <c r="B11" s="1" t="s">
        <v>174</v>
      </c>
      <c r="E11" s="3" t="s">
        <v>126</v>
      </c>
      <c r="F11" s="3" t="s">
        <v>127</v>
      </c>
      <c r="G11" s="3"/>
      <c r="H11" s="7" t="s">
        <v>136</v>
      </c>
      <c r="I11" s="3" t="s">
        <v>129</v>
      </c>
      <c r="J11" s="3" t="s">
        <v>130</v>
      </c>
      <c r="K11" s="3" t="s">
        <v>131</v>
      </c>
      <c r="L11" s="6" t="s">
        <v>132</v>
      </c>
      <c r="M11" s="6" t="s">
        <v>132</v>
      </c>
    </row>
    <row r="12" spans="1:13" x14ac:dyDescent="0.25">
      <c r="A12" s="1">
        <v>11</v>
      </c>
      <c r="B12" s="1" t="s">
        <v>175</v>
      </c>
      <c r="E12" s="3" t="s">
        <v>126</v>
      </c>
      <c r="F12" s="3" t="s">
        <v>127</v>
      </c>
      <c r="G12" s="3"/>
      <c r="H12" s="7" t="s">
        <v>136</v>
      </c>
      <c r="I12" s="3" t="s">
        <v>129</v>
      </c>
      <c r="J12" s="3" t="s">
        <v>130</v>
      </c>
      <c r="K12" s="3" t="s">
        <v>131</v>
      </c>
      <c r="L12" s="6" t="s">
        <v>132</v>
      </c>
      <c r="M12" s="6" t="s">
        <v>132</v>
      </c>
    </row>
    <row r="13" spans="1:13" x14ac:dyDescent="0.25">
      <c r="A13" s="1">
        <v>12</v>
      </c>
      <c r="B13" s="1" t="s">
        <v>176</v>
      </c>
      <c r="E13" s="3" t="s">
        <v>126</v>
      </c>
      <c r="F13" s="3" t="s">
        <v>127</v>
      </c>
      <c r="G13" s="3"/>
      <c r="H13" s="7" t="s">
        <v>136</v>
      </c>
      <c r="I13" s="3" t="s">
        <v>129</v>
      </c>
      <c r="J13" s="3" t="s">
        <v>130</v>
      </c>
      <c r="K13" s="3" t="s">
        <v>131</v>
      </c>
      <c r="L13" s="6" t="s">
        <v>132</v>
      </c>
      <c r="M13" s="6" t="s">
        <v>132</v>
      </c>
    </row>
    <row r="14" spans="1:13" x14ac:dyDescent="0.25">
      <c r="A14" s="1">
        <v>13</v>
      </c>
      <c r="B14" s="1" t="s">
        <v>177</v>
      </c>
      <c r="E14" s="3" t="s">
        <v>126</v>
      </c>
      <c r="F14" s="3" t="s">
        <v>127</v>
      </c>
      <c r="G14" s="3"/>
      <c r="H14" s="7" t="s">
        <v>136</v>
      </c>
      <c r="I14" s="3" t="s">
        <v>129</v>
      </c>
      <c r="J14" s="3" t="s">
        <v>130</v>
      </c>
      <c r="K14" s="3" t="s">
        <v>131</v>
      </c>
      <c r="L14" s="6" t="s">
        <v>132</v>
      </c>
      <c r="M14" s="6" t="s">
        <v>132</v>
      </c>
    </row>
    <row r="15" spans="1:13" x14ac:dyDescent="0.25">
      <c r="A15" s="1">
        <v>14</v>
      </c>
      <c r="B15" s="1" t="s">
        <v>178</v>
      </c>
      <c r="E15" s="3" t="s">
        <v>126</v>
      </c>
      <c r="F15" s="3" t="s">
        <v>127</v>
      </c>
      <c r="G15" s="3"/>
      <c r="H15" s="7" t="s">
        <v>136</v>
      </c>
      <c r="I15" s="3" t="s">
        <v>129</v>
      </c>
      <c r="J15" s="3" t="s">
        <v>130</v>
      </c>
      <c r="K15" s="3" t="s">
        <v>131</v>
      </c>
      <c r="L15" s="6" t="s">
        <v>132</v>
      </c>
      <c r="M15" s="6" t="s">
        <v>132</v>
      </c>
    </row>
    <row r="16" spans="1:13" x14ac:dyDescent="0.25">
      <c r="A16" s="1">
        <v>15</v>
      </c>
      <c r="B16" s="1" t="s">
        <v>179</v>
      </c>
      <c r="E16" s="3" t="s">
        <v>126</v>
      </c>
      <c r="F16" s="3" t="s">
        <v>127</v>
      </c>
      <c r="G16" s="3"/>
      <c r="H16" s="7" t="s">
        <v>136</v>
      </c>
      <c r="I16" s="3" t="s">
        <v>129</v>
      </c>
      <c r="J16" s="3" t="s">
        <v>130</v>
      </c>
      <c r="K16" s="3" t="s">
        <v>131</v>
      </c>
      <c r="L16" s="6" t="s">
        <v>132</v>
      </c>
      <c r="M16" s="6" t="s">
        <v>132</v>
      </c>
    </row>
    <row r="17" spans="1:13" x14ac:dyDescent="0.25">
      <c r="A17" s="1">
        <v>16</v>
      </c>
      <c r="B17" s="1" t="s">
        <v>180</v>
      </c>
      <c r="E17" s="3" t="s">
        <v>126</v>
      </c>
      <c r="F17" s="3" t="s">
        <v>127</v>
      </c>
      <c r="G17" s="3"/>
      <c r="H17" s="7" t="s">
        <v>136</v>
      </c>
      <c r="I17" s="3" t="s">
        <v>129</v>
      </c>
      <c r="J17" s="3" t="s">
        <v>130</v>
      </c>
      <c r="K17" s="3" t="s">
        <v>131</v>
      </c>
      <c r="L17" s="6" t="s">
        <v>132</v>
      </c>
      <c r="M17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" width="9.285714285714286" customWidth="1"/>
    <col min="2" max="2" width="28.571428571428573" customWidth="1"/>
    <col min="3" max="5" width="9.285714285714286" customWidth="1"/>
    <col min="6" max="6" width="13.571428571428571" customWidth="1"/>
    <col min="7" max="10" width="9.285714285714286" customWidth="1"/>
    <col min="11" max="11" width="10.285714285714286" customWidth="1"/>
    <col min="12" max="24" width="13.571428571428571" customWidth="1"/>
  </cols>
  <sheetData>
    <row r="1" spans="1:13" x14ac:dyDescent="0.25">
      <c r="A1" s="1" t="s">
        <v>96</v>
      </c>
      <c r="B1" s="1" t="s">
        <v>150</v>
      </c>
      <c r="C1" s="1" t="s">
        <v>26</v>
      </c>
      <c r="D1" s="1" t="s">
        <v>117</v>
      </c>
      <c r="E1" s="6" t="s">
        <v>37</v>
      </c>
      <c r="F1" s="6" t="s">
        <v>38</v>
      </c>
      <c r="G1" s="6" t="s">
        <v>110</v>
      </c>
      <c r="H1" s="7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</row>
    <row r="2" spans="1:13" x14ac:dyDescent="0.25">
      <c r="A2" s="1">
        <v>1</v>
      </c>
      <c r="B2" s="1" t="s">
        <v>181</v>
      </c>
      <c r="E2" s="3" t="s">
        <v>126</v>
      </c>
      <c r="F2" s="3" t="s">
        <v>127</v>
      </c>
      <c r="G2" s="3"/>
      <c r="H2" s="8" t="s">
        <v>128</v>
      </c>
      <c r="I2" s="3" t="s">
        <v>129</v>
      </c>
      <c r="J2" s="3" t="s">
        <v>130</v>
      </c>
      <c r="K2" s="3" t="s">
        <v>131</v>
      </c>
      <c r="L2" s="6" t="s">
        <v>132</v>
      </c>
      <c r="M2" s="6" t="s">
        <v>132</v>
      </c>
    </row>
    <row r="3" spans="1:13" x14ac:dyDescent="0.25">
      <c r="A3" s="1">
        <v>2</v>
      </c>
      <c r="B3" s="1" t="s">
        <v>182</v>
      </c>
      <c r="E3" s="3" t="s">
        <v>126</v>
      </c>
      <c r="F3" s="3" t="s">
        <v>127</v>
      </c>
      <c r="G3" s="3"/>
      <c r="H3" s="7" t="s">
        <v>136</v>
      </c>
      <c r="I3" s="3" t="s">
        <v>129</v>
      </c>
      <c r="J3" s="3" t="s">
        <v>130</v>
      </c>
      <c r="K3" s="3" t="s">
        <v>131</v>
      </c>
      <c r="L3" s="6" t="s">
        <v>132</v>
      </c>
      <c r="M3" s="6" t="s">
        <v>132</v>
      </c>
    </row>
    <row r="4" spans="1:13" x14ac:dyDescent="0.25">
      <c r="A4" s="1">
        <v>3</v>
      </c>
      <c r="B4" s="1" t="s">
        <v>183</v>
      </c>
      <c r="E4" s="3" t="s">
        <v>126</v>
      </c>
      <c r="F4" s="3" t="s">
        <v>127</v>
      </c>
      <c r="G4" s="3"/>
      <c r="H4" s="7" t="s">
        <v>136</v>
      </c>
      <c r="I4" s="3" t="s">
        <v>129</v>
      </c>
      <c r="J4" s="3" t="s">
        <v>130</v>
      </c>
      <c r="K4" s="3" t="s">
        <v>131</v>
      </c>
      <c r="L4" s="6" t="s">
        <v>132</v>
      </c>
      <c r="M4" s="6" t="s">
        <v>132</v>
      </c>
    </row>
    <row r="5" spans="1:13" x14ac:dyDescent="0.25">
      <c r="A5" s="1">
        <v>4</v>
      </c>
      <c r="B5" s="1" t="s">
        <v>184</v>
      </c>
      <c r="E5" s="3" t="s">
        <v>126</v>
      </c>
      <c r="F5" s="3" t="s">
        <v>127</v>
      </c>
      <c r="G5" s="3"/>
      <c r="H5" s="7" t="s">
        <v>136</v>
      </c>
      <c r="I5" s="3" t="s">
        <v>129</v>
      </c>
      <c r="J5" s="3" t="s">
        <v>130</v>
      </c>
      <c r="K5" s="3" t="s">
        <v>131</v>
      </c>
      <c r="L5" s="6" t="s">
        <v>132</v>
      </c>
      <c r="M5" s="6" t="s">
        <v>132</v>
      </c>
    </row>
    <row r="6" spans="1:13" x14ac:dyDescent="0.25">
      <c r="A6" s="1">
        <v>5</v>
      </c>
      <c r="B6" s="1" t="s">
        <v>185</v>
      </c>
      <c r="E6" s="3" t="s">
        <v>126</v>
      </c>
      <c r="F6" s="3" t="s">
        <v>127</v>
      </c>
      <c r="G6" s="3"/>
      <c r="H6" s="7" t="s">
        <v>136</v>
      </c>
      <c r="I6" s="3" t="s">
        <v>129</v>
      </c>
      <c r="J6" s="3" t="s">
        <v>130</v>
      </c>
      <c r="K6" s="3" t="s">
        <v>131</v>
      </c>
      <c r="L6" s="6" t="s">
        <v>132</v>
      </c>
      <c r="M6" s="6" t="s">
        <v>132</v>
      </c>
    </row>
    <row r="7" spans="1:13" x14ac:dyDescent="0.25">
      <c r="A7" s="1">
        <v>6</v>
      </c>
      <c r="B7" s="1" t="s">
        <v>186</v>
      </c>
      <c r="E7" s="3" t="s">
        <v>126</v>
      </c>
      <c r="F7" s="3" t="s">
        <v>127</v>
      </c>
      <c r="G7" s="3"/>
      <c r="H7" s="7" t="s">
        <v>136</v>
      </c>
      <c r="I7" s="3" t="s">
        <v>129</v>
      </c>
      <c r="J7" s="3" t="s">
        <v>130</v>
      </c>
      <c r="K7" s="3" t="s">
        <v>131</v>
      </c>
      <c r="L7" s="6" t="s">
        <v>132</v>
      </c>
      <c r="M7" s="6" t="s">
        <v>132</v>
      </c>
    </row>
    <row r="8" spans="1:13" x14ac:dyDescent="0.25">
      <c r="A8" s="1">
        <v>7</v>
      </c>
      <c r="B8" s="1" t="s">
        <v>187</v>
      </c>
      <c r="E8" s="3" t="s">
        <v>126</v>
      </c>
      <c r="F8" s="3" t="s">
        <v>127</v>
      </c>
      <c r="G8" s="3"/>
      <c r="H8" s="7" t="s">
        <v>136</v>
      </c>
      <c r="I8" s="3" t="s">
        <v>129</v>
      </c>
      <c r="J8" s="3" t="s">
        <v>130</v>
      </c>
      <c r="K8" s="3" t="s">
        <v>131</v>
      </c>
      <c r="L8" s="6" t="s">
        <v>132</v>
      </c>
      <c r="M8" s="6" t="s">
        <v>132</v>
      </c>
    </row>
    <row r="9" spans="1:13" x14ac:dyDescent="0.25">
      <c r="A9" s="1">
        <v>8</v>
      </c>
      <c r="B9" s="1" t="s">
        <v>188</v>
      </c>
      <c r="E9" s="3" t="s">
        <v>126</v>
      </c>
      <c r="F9" s="3" t="s">
        <v>127</v>
      </c>
      <c r="G9" s="3"/>
      <c r="H9" s="7" t="s">
        <v>136</v>
      </c>
      <c r="I9" s="3" t="s">
        <v>129</v>
      </c>
      <c r="J9" s="3" t="s">
        <v>130</v>
      </c>
      <c r="K9" s="3" t="s">
        <v>131</v>
      </c>
      <c r="L9" s="6" t="s">
        <v>132</v>
      </c>
      <c r="M9" s="6" t="s">
        <v>132</v>
      </c>
    </row>
    <row r="10" spans="1:13" x14ac:dyDescent="0.25">
      <c r="A10" s="1">
        <v>9</v>
      </c>
      <c r="B10" s="1" t="s">
        <v>189</v>
      </c>
      <c r="E10" s="3" t="s">
        <v>126</v>
      </c>
      <c r="F10" s="3" t="s">
        <v>127</v>
      </c>
      <c r="G10" s="3"/>
      <c r="H10" s="7" t="s">
        <v>136</v>
      </c>
      <c r="I10" s="3" t="s">
        <v>129</v>
      </c>
      <c r="J10" s="3" t="s">
        <v>130</v>
      </c>
      <c r="K10" s="3" t="s">
        <v>131</v>
      </c>
      <c r="L10" s="6" t="s">
        <v>132</v>
      </c>
      <c r="M10" s="6" t="s">
        <v>132</v>
      </c>
    </row>
    <row r="11" spans="1:13" x14ac:dyDescent="0.25">
      <c r="A11" s="1">
        <v>10</v>
      </c>
      <c r="B11" s="1" t="s">
        <v>190</v>
      </c>
      <c r="E11" s="3" t="s">
        <v>126</v>
      </c>
      <c r="F11" s="3" t="s">
        <v>127</v>
      </c>
      <c r="G11" s="3"/>
      <c r="H11" s="7" t="s">
        <v>136</v>
      </c>
      <c r="I11" s="3" t="s">
        <v>129</v>
      </c>
      <c r="J11" s="3" t="s">
        <v>130</v>
      </c>
      <c r="K11" s="3" t="s">
        <v>131</v>
      </c>
      <c r="L11" s="6" t="s">
        <v>132</v>
      </c>
      <c r="M11" s="6" t="s">
        <v>132</v>
      </c>
    </row>
    <row r="12" spans="1:13" x14ac:dyDescent="0.25">
      <c r="A12" s="1">
        <v>11</v>
      </c>
      <c r="B12" s="1" t="s">
        <v>189</v>
      </c>
      <c r="E12" s="3" t="s">
        <v>126</v>
      </c>
      <c r="F12" s="3" t="s">
        <v>127</v>
      </c>
      <c r="G12" s="3"/>
      <c r="H12" s="7" t="s">
        <v>136</v>
      </c>
      <c r="I12" s="3" t="s">
        <v>129</v>
      </c>
      <c r="J12" s="3" t="s">
        <v>130</v>
      </c>
      <c r="K12" s="3" t="s">
        <v>131</v>
      </c>
      <c r="L12" s="6" t="s">
        <v>132</v>
      </c>
      <c r="M12" s="6" t="s">
        <v>132</v>
      </c>
    </row>
    <row r="13" spans="1:13" x14ac:dyDescent="0.25">
      <c r="A13" s="1">
        <v>12</v>
      </c>
      <c r="B13" s="1" t="s">
        <v>191</v>
      </c>
      <c r="E13" s="3" t="s">
        <v>126</v>
      </c>
      <c r="F13" s="3" t="s">
        <v>127</v>
      </c>
      <c r="G13" s="3"/>
      <c r="H13" s="7" t="s">
        <v>136</v>
      </c>
      <c r="I13" s="3" t="s">
        <v>129</v>
      </c>
      <c r="J13" s="3" t="s">
        <v>130</v>
      </c>
      <c r="K13" s="3" t="s">
        <v>131</v>
      </c>
      <c r="L13" s="6" t="s">
        <v>132</v>
      </c>
      <c r="M13" s="6" t="s">
        <v>132</v>
      </c>
    </row>
    <row r="14" spans="1:13" x14ac:dyDescent="0.25">
      <c r="A14" s="1">
        <v>13</v>
      </c>
      <c r="B14" s="1" t="s">
        <v>192</v>
      </c>
      <c r="E14" s="3" t="s">
        <v>126</v>
      </c>
      <c r="F14" s="3" t="s">
        <v>127</v>
      </c>
      <c r="G14" s="3"/>
      <c r="H14" s="7" t="s">
        <v>136</v>
      </c>
      <c r="I14" s="3" t="s">
        <v>129</v>
      </c>
      <c r="J14" s="3" t="s">
        <v>130</v>
      </c>
      <c r="K14" s="3" t="s">
        <v>131</v>
      </c>
      <c r="L14" s="6" t="s">
        <v>132</v>
      </c>
      <c r="M14" s="6" t="s">
        <v>132</v>
      </c>
    </row>
    <row r="15" spans="1:13" x14ac:dyDescent="0.25">
      <c r="A15" s="1">
        <v>14</v>
      </c>
      <c r="B15" s="1" t="s">
        <v>193</v>
      </c>
      <c r="E15" s="3" t="s">
        <v>126</v>
      </c>
      <c r="F15" s="3" t="s">
        <v>127</v>
      </c>
      <c r="G15" s="3"/>
      <c r="H15" s="7" t="s">
        <v>136</v>
      </c>
      <c r="I15" s="3" t="s">
        <v>129</v>
      </c>
      <c r="J15" s="3" t="s">
        <v>130</v>
      </c>
      <c r="K15" s="3" t="s">
        <v>131</v>
      </c>
      <c r="L15" s="6" t="s">
        <v>132</v>
      </c>
      <c r="M15" s="6" t="s">
        <v>132</v>
      </c>
    </row>
    <row r="16" spans="1:13" x14ac:dyDescent="0.25">
      <c r="A16" s="1">
        <v>15</v>
      </c>
      <c r="B16" s="1" t="s">
        <v>194</v>
      </c>
      <c r="E16" s="3" t="s">
        <v>126</v>
      </c>
      <c r="F16" s="3" t="s">
        <v>127</v>
      </c>
      <c r="G16" s="3"/>
      <c r="H16" s="7" t="s">
        <v>136</v>
      </c>
      <c r="I16" s="3" t="s">
        <v>129</v>
      </c>
      <c r="J16" s="3" t="s">
        <v>130</v>
      </c>
      <c r="K16" s="3" t="s">
        <v>131</v>
      </c>
      <c r="L16" s="6" t="s">
        <v>132</v>
      </c>
      <c r="M16" s="6" t="s">
        <v>132</v>
      </c>
    </row>
    <row r="17" spans="1:13" x14ac:dyDescent="0.25">
      <c r="A17" s="1">
        <v>16</v>
      </c>
      <c r="B17" s="1" t="s">
        <v>195</v>
      </c>
      <c r="E17" s="3" t="s">
        <v>126</v>
      </c>
      <c r="F17" s="3" t="s">
        <v>127</v>
      </c>
      <c r="G17" s="3"/>
      <c r="H17" s="7" t="s">
        <v>136</v>
      </c>
      <c r="I17" s="3" t="s">
        <v>129</v>
      </c>
      <c r="J17" s="3" t="s">
        <v>130</v>
      </c>
      <c r="K17" s="3" t="s">
        <v>131</v>
      </c>
      <c r="L17" s="6" t="s">
        <v>132</v>
      </c>
      <c r="M17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" width="9.285714285714286" customWidth="1"/>
    <col min="2" max="2" width="32.57142857142857" customWidth="1"/>
    <col min="3" max="5" width="9.285714285714286" customWidth="1"/>
    <col min="6" max="6" width="13.571428571428571" customWidth="1"/>
    <col min="7" max="10" width="9.285714285714286" customWidth="1"/>
    <col min="11" max="11" width="10.285714285714286" customWidth="1"/>
    <col min="12" max="24" width="13.571428571428571" customWidth="1"/>
  </cols>
  <sheetData>
    <row r="1" spans="1:13" x14ac:dyDescent="0.25">
      <c r="A1" s="1" t="s">
        <v>96</v>
      </c>
      <c r="B1" s="1" t="s">
        <v>150</v>
      </c>
      <c r="C1" s="1" t="s">
        <v>26</v>
      </c>
      <c r="D1" s="1" t="s">
        <v>117</v>
      </c>
      <c r="E1" s="6" t="s">
        <v>37</v>
      </c>
      <c r="F1" s="6" t="s">
        <v>38</v>
      </c>
      <c r="G1" s="6" t="s">
        <v>110</v>
      </c>
      <c r="H1" s="7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</row>
    <row r="2" spans="1:13" x14ac:dyDescent="0.25">
      <c r="A2" s="1">
        <v>1</v>
      </c>
      <c r="B2" s="1" t="s">
        <v>196</v>
      </c>
      <c r="E2" s="3" t="s">
        <v>126</v>
      </c>
      <c r="F2" s="3" t="s">
        <v>127</v>
      </c>
      <c r="G2" s="3"/>
      <c r="H2" s="8" t="s">
        <v>128</v>
      </c>
      <c r="I2" s="3" t="s">
        <v>129</v>
      </c>
      <c r="J2" s="3" t="s">
        <v>130</v>
      </c>
      <c r="K2" s="3" t="s">
        <v>131</v>
      </c>
      <c r="L2" s="6" t="s">
        <v>132</v>
      </c>
      <c r="M2" s="6" t="s">
        <v>132</v>
      </c>
    </row>
    <row r="3" spans="1:13" x14ac:dyDescent="0.25">
      <c r="A3" s="1">
        <v>2</v>
      </c>
      <c r="B3" s="1" t="s">
        <v>197</v>
      </c>
      <c r="E3" s="3" t="s">
        <v>126</v>
      </c>
      <c r="F3" s="3" t="s">
        <v>127</v>
      </c>
      <c r="G3" s="3"/>
      <c r="H3" s="7" t="s">
        <v>136</v>
      </c>
      <c r="I3" s="3" t="s">
        <v>129</v>
      </c>
      <c r="J3" s="3" t="s">
        <v>130</v>
      </c>
      <c r="K3" s="3" t="s">
        <v>131</v>
      </c>
      <c r="L3" s="6" t="s">
        <v>132</v>
      </c>
      <c r="M3" s="6" t="s">
        <v>132</v>
      </c>
    </row>
    <row r="4" spans="1:13" x14ac:dyDescent="0.25">
      <c r="A4" s="1">
        <v>3</v>
      </c>
      <c r="B4" s="1" t="s">
        <v>198</v>
      </c>
      <c r="E4" s="3" t="s">
        <v>126</v>
      </c>
      <c r="F4" s="3" t="s">
        <v>127</v>
      </c>
      <c r="G4" s="3"/>
      <c r="H4" s="7" t="s">
        <v>136</v>
      </c>
      <c r="I4" s="3" t="s">
        <v>129</v>
      </c>
      <c r="J4" s="3" t="s">
        <v>130</v>
      </c>
      <c r="K4" s="3" t="s">
        <v>131</v>
      </c>
      <c r="L4" s="6" t="s">
        <v>132</v>
      </c>
      <c r="M4" s="6" t="s">
        <v>132</v>
      </c>
    </row>
    <row r="5" spans="1:13" x14ac:dyDescent="0.25">
      <c r="A5" s="1">
        <v>4</v>
      </c>
      <c r="B5" s="1" t="s">
        <v>199</v>
      </c>
      <c r="E5" s="3" t="s">
        <v>126</v>
      </c>
      <c r="F5" s="3" t="s">
        <v>127</v>
      </c>
      <c r="G5" s="3"/>
      <c r="H5" s="7" t="s">
        <v>136</v>
      </c>
      <c r="I5" s="3" t="s">
        <v>129</v>
      </c>
      <c r="J5" s="3" t="s">
        <v>130</v>
      </c>
      <c r="K5" s="3" t="s">
        <v>131</v>
      </c>
      <c r="L5" s="6" t="s">
        <v>132</v>
      </c>
      <c r="M5" s="6" t="s">
        <v>132</v>
      </c>
    </row>
    <row r="6" spans="1:13" x14ac:dyDescent="0.25">
      <c r="A6" s="1">
        <v>5</v>
      </c>
      <c r="B6" s="1" t="s">
        <v>200</v>
      </c>
      <c r="E6" s="3" t="s">
        <v>126</v>
      </c>
      <c r="F6" s="3" t="s">
        <v>127</v>
      </c>
      <c r="G6" s="3"/>
      <c r="H6" s="7" t="s">
        <v>136</v>
      </c>
      <c r="I6" s="3" t="s">
        <v>129</v>
      </c>
      <c r="J6" s="3" t="s">
        <v>130</v>
      </c>
      <c r="K6" s="3" t="s">
        <v>131</v>
      </c>
      <c r="L6" s="6" t="s">
        <v>132</v>
      </c>
      <c r="M6" s="6" t="s">
        <v>132</v>
      </c>
    </row>
    <row r="7" spans="1:13" x14ac:dyDescent="0.25">
      <c r="A7" s="1">
        <v>6</v>
      </c>
      <c r="B7" s="1" t="s">
        <v>201</v>
      </c>
      <c r="E7" s="3" t="s">
        <v>126</v>
      </c>
      <c r="F7" s="3" t="s">
        <v>127</v>
      </c>
      <c r="G7" s="3"/>
      <c r="H7" s="7" t="s">
        <v>136</v>
      </c>
      <c r="I7" s="3" t="s">
        <v>129</v>
      </c>
      <c r="J7" s="3" t="s">
        <v>130</v>
      </c>
      <c r="K7" s="3" t="s">
        <v>131</v>
      </c>
      <c r="L7" s="6" t="s">
        <v>132</v>
      </c>
      <c r="M7" s="6" t="s">
        <v>132</v>
      </c>
    </row>
    <row r="8" spans="1:13" x14ac:dyDescent="0.25">
      <c r="A8" s="1">
        <v>7</v>
      </c>
      <c r="B8" s="1" t="s">
        <v>202</v>
      </c>
      <c r="E8" s="3" t="s">
        <v>126</v>
      </c>
      <c r="F8" s="3" t="s">
        <v>127</v>
      </c>
      <c r="G8" s="3"/>
      <c r="H8" s="7" t="s">
        <v>136</v>
      </c>
      <c r="I8" s="3" t="s">
        <v>129</v>
      </c>
      <c r="J8" s="3" t="s">
        <v>130</v>
      </c>
      <c r="K8" s="3" t="s">
        <v>131</v>
      </c>
      <c r="L8" s="6" t="s">
        <v>132</v>
      </c>
      <c r="M8" s="6" t="s">
        <v>132</v>
      </c>
    </row>
    <row r="9" spans="1:13" x14ac:dyDescent="0.25">
      <c r="A9" s="1">
        <v>8</v>
      </c>
      <c r="B9" s="1" t="s">
        <v>203</v>
      </c>
      <c r="E9" s="3" t="s">
        <v>126</v>
      </c>
      <c r="F9" s="3" t="s">
        <v>127</v>
      </c>
      <c r="G9" s="3"/>
      <c r="H9" s="7" t="s">
        <v>136</v>
      </c>
      <c r="I9" s="3" t="s">
        <v>129</v>
      </c>
      <c r="J9" s="3" t="s">
        <v>130</v>
      </c>
      <c r="K9" s="3" t="s">
        <v>131</v>
      </c>
      <c r="L9" s="6" t="s">
        <v>132</v>
      </c>
      <c r="M9" s="6" t="s">
        <v>132</v>
      </c>
    </row>
    <row r="10" spans="1:13" x14ac:dyDescent="0.25">
      <c r="A10" s="1">
        <v>9</v>
      </c>
      <c r="B10" s="1" t="s">
        <v>204</v>
      </c>
      <c r="E10" s="3" t="s">
        <v>126</v>
      </c>
      <c r="F10" s="3" t="s">
        <v>127</v>
      </c>
      <c r="G10" s="3"/>
      <c r="H10" s="7" t="s">
        <v>136</v>
      </c>
      <c r="I10" s="3" t="s">
        <v>129</v>
      </c>
      <c r="J10" s="3" t="s">
        <v>130</v>
      </c>
      <c r="K10" s="3" t="s">
        <v>131</v>
      </c>
      <c r="L10" s="6" t="s">
        <v>132</v>
      </c>
      <c r="M10" s="6" t="s">
        <v>132</v>
      </c>
    </row>
    <row r="11" spans="1:13" x14ac:dyDescent="0.25">
      <c r="A11" s="1">
        <v>10</v>
      </c>
      <c r="B11" s="1" t="s">
        <v>205</v>
      </c>
      <c r="E11" s="3" t="s">
        <v>126</v>
      </c>
      <c r="F11" s="3" t="s">
        <v>127</v>
      </c>
      <c r="G11" s="3"/>
      <c r="H11" s="7" t="s">
        <v>136</v>
      </c>
      <c r="I11" s="3" t="s">
        <v>129</v>
      </c>
      <c r="J11" s="3" t="s">
        <v>130</v>
      </c>
      <c r="K11" s="3" t="s">
        <v>131</v>
      </c>
      <c r="L11" s="6" t="s">
        <v>132</v>
      </c>
      <c r="M11" s="6" t="s">
        <v>132</v>
      </c>
    </row>
    <row r="12" spans="1:13" x14ac:dyDescent="0.25">
      <c r="A12" s="1">
        <v>11</v>
      </c>
      <c r="B12" s="1" t="s">
        <v>206</v>
      </c>
      <c r="E12" s="3" t="s">
        <v>126</v>
      </c>
      <c r="F12" s="3" t="s">
        <v>127</v>
      </c>
      <c r="G12" s="3"/>
      <c r="H12" s="7" t="s">
        <v>136</v>
      </c>
      <c r="I12" s="3" t="s">
        <v>129</v>
      </c>
      <c r="J12" s="3" t="s">
        <v>130</v>
      </c>
      <c r="K12" s="3" t="s">
        <v>131</v>
      </c>
      <c r="L12" s="6" t="s">
        <v>132</v>
      </c>
      <c r="M12" s="6" t="s">
        <v>132</v>
      </c>
    </row>
    <row r="13" spans="1:13" x14ac:dyDescent="0.25">
      <c r="A13" s="1">
        <v>12</v>
      </c>
      <c r="B13" s="1" t="s">
        <v>207</v>
      </c>
      <c r="E13" s="3" t="s">
        <v>126</v>
      </c>
      <c r="F13" s="3" t="s">
        <v>127</v>
      </c>
      <c r="G13" s="3"/>
      <c r="H13" s="7" t="s">
        <v>136</v>
      </c>
      <c r="I13" s="3" t="s">
        <v>129</v>
      </c>
      <c r="J13" s="3" t="s">
        <v>130</v>
      </c>
      <c r="K13" s="3" t="s">
        <v>131</v>
      </c>
      <c r="L13" s="6" t="s">
        <v>132</v>
      </c>
      <c r="M13" s="6" t="s">
        <v>132</v>
      </c>
    </row>
    <row r="14" spans="1:13" x14ac:dyDescent="0.25">
      <c r="A14" s="1">
        <v>13</v>
      </c>
      <c r="B14" s="1" t="s">
        <v>208</v>
      </c>
      <c r="E14" s="3" t="s">
        <v>126</v>
      </c>
      <c r="F14" s="3" t="s">
        <v>127</v>
      </c>
      <c r="G14" s="3"/>
      <c r="H14" s="7" t="s">
        <v>136</v>
      </c>
      <c r="I14" s="3" t="s">
        <v>129</v>
      </c>
      <c r="J14" s="3" t="s">
        <v>130</v>
      </c>
      <c r="K14" s="3" t="s">
        <v>131</v>
      </c>
      <c r="L14" s="6" t="s">
        <v>132</v>
      </c>
      <c r="M14" s="6" t="s">
        <v>132</v>
      </c>
    </row>
    <row r="15" spans="1:13" x14ac:dyDescent="0.25">
      <c r="A15" s="1">
        <v>14</v>
      </c>
      <c r="B15" s="1" t="s">
        <v>209</v>
      </c>
      <c r="E15" s="3" t="s">
        <v>126</v>
      </c>
      <c r="F15" s="3" t="s">
        <v>127</v>
      </c>
      <c r="G15" s="3"/>
      <c r="H15" s="7" t="s">
        <v>136</v>
      </c>
      <c r="I15" s="3" t="s">
        <v>129</v>
      </c>
      <c r="J15" s="3" t="s">
        <v>130</v>
      </c>
      <c r="K15" s="3" t="s">
        <v>131</v>
      </c>
      <c r="L15" s="6" t="s">
        <v>132</v>
      </c>
      <c r="M15" s="6" t="s">
        <v>132</v>
      </c>
    </row>
    <row r="16" spans="1:13" x14ac:dyDescent="0.25">
      <c r="A16" s="1">
        <v>15</v>
      </c>
      <c r="B16" s="1" t="s">
        <v>210</v>
      </c>
      <c r="E16" s="3" t="s">
        <v>126</v>
      </c>
      <c r="F16" s="3" t="s">
        <v>127</v>
      </c>
      <c r="G16" s="3"/>
      <c r="H16" s="7" t="s">
        <v>136</v>
      </c>
      <c r="I16" s="3" t="s">
        <v>129</v>
      </c>
      <c r="J16" s="3" t="s">
        <v>130</v>
      </c>
      <c r="K16" s="3" t="s">
        <v>131</v>
      </c>
      <c r="L16" s="6" t="s">
        <v>132</v>
      </c>
      <c r="M16" s="6" t="s">
        <v>132</v>
      </c>
    </row>
    <row r="17" spans="1:13" x14ac:dyDescent="0.25">
      <c r="A17" s="1">
        <v>16</v>
      </c>
      <c r="B17" s="1" t="s">
        <v>211</v>
      </c>
      <c r="E17" s="3" t="s">
        <v>126</v>
      </c>
      <c r="F17" s="3" t="s">
        <v>127</v>
      </c>
      <c r="G17" s="3"/>
      <c r="H17" s="7" t="s">
        <v>136</v>
      </c>
      <c r="I17" s="3" t="s">
        <v>129</v>
      </c>
      <c r="J17" s="3" t="s">
        <v>130</v>
      </c>
      <c r="K17" s="3" t="s">
        <v>131</v>
      </c>
      <c r="L17" s="6" t="s">
        <v>132</v>
      </c>
      <c r="M17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24" width="13.571428571428571" customWidth="1"/>
  </cols>
  <sheetData>
    <row r="1" spans="1:11" x14ac:dyDescent="0.25">
      <c r="A1" s="6" t="s">
        <v>11</v>
      </c>
      <c r="B1" t="s">
        <v>212</v>
      </c>
      <c r="C1" s="6" t="s">
        <v>26</v>
      </c>
      <c r="D1" s="6" t="s">
        <v>37</v>
      </c>
      <c r="E1" s="6" t="s">
        <v>38</v>
      </c>
      <c r="F1" s="6" t="s">
        <v>36</v>
      </c>
      <c r="G1" s="6" t="s">
        <v>110</v>
      </c>
      <c r="I1" s="6"/>
      <c r="K1" s="6"/>
    </row>
    <row r="2" spans="1:3" x14ac:dyDescent="0.25">
      <c r="A2" t="s">
        <v>213</v>
      </c>
      <c r="B2" t="s">
        <v>214</v>
      </c>
      <c r="C2" t="s">
        <v>215</v>
      </c>
    </row>
    <row r="3" spans="1:3" x14ac:dyDescent="0.25">
      <c r="A3" t="s">
        <v>213</v>
      </c>
      <c r="B3" t="s">
        <v>216</v>
      </c>
      <c r="C3" t="s">
        <v>217</v>
      </c>
    </row>
    <row r="4" spans="1:3" x14ac:dyDescent="0.25">
      <c r="A4" t="s">
        <v>213</v>
      </c>
      <c r="B4" t="s">
        <v>214</v>
      </c>
      <c r="C4" t="s">
        <v>218</v>
      </c>
    </row>
    <row r="5" spans="1:3" x14ac:dyDescent="0.25">
      <c r="A5" t="s">
        <v>213</v>
      </c>
      <c r="B5" t="s">
        <v>216</v>
      </c>
      <c r="C5" t="s">
        <v>219</v>
      </c>
    </row>
    <row r="6" spans="1:3" x14ac:dyDescent="0.25">
      <c r="A6" t="s">
        <v>213</v>
      </c>
      <c r="B6" t="s">
        <v>214</v>
      </c>
      <c r="C6" t="s">
        <v>220</v>
      </c>
    </row>
    <row r="7" spans="1:3" x14ac:dyDescent="0.25">
      <c r="A7" t="s">
        <v>213</v>
      </c>
      <c r="B7" t="s">
        <v>216</v>
      </c>
      <c r="C7" t="s">
        <v>221</v>
      </c>
    </row>
    <row r="8" spans="1:3" x14ac:dyDescent="0.25">
      <c r="A8" t="s">
        <v>213</v>
      </c>
      <c r="B8" t="s">
        <v>214</v>
      </c>
      <c r="C8" t="s">
        <v>222</v>
      </c>
    </row>
    <row r="9" spans="1:3" x14ac:dyDescent="0.25">
      <c r="A9" t="s">
        <v>213</v>
      </c>
      <c r="B9" t="s">
        <v>216</v>
      </c>
      <c r="C9" t="s">
        <v>223</v>
      </c>
    </row>
    <row r="10" spans="1:3" x14ac:dyDescent="0.25">
      <c r="A10" t="s">
        <v>213</v>
      </c>
      <c r="B10" t="s">
        <v>214</v>
      </c>
      <c r="C10" t="s">
        <v>224</v>
      </c>
    </row>
    <row r="11" spans="1:3" x14ac:dyDescent="0.25">
      <c r="A11" t="s">
        <v>213</v>
      </c>
      <c r="B11" t="s">
        <v>216</v>
      </c>
      <c r="C11" t="s">
        <v>225</v>
      </c>
    </row>
    <row r="12" spans="1:3" x14ac:dyDescent="0.25">
      <c r="A12" t="s">
        <v>226</v>
      </c>
      <c r="B12" t="s">
        <v>227</v>
      </c>
      <c r="C12" t="s">
        <v>215</v>
      </c>
    </row>
    <row r="13" spans="1:3" x14ac:dyDescent="0.25">
      <c r="A13" t="s">
        <v>226</v>
      </c>
      <c r="B13" t="s">
        <v>228</v>
      </c>
      <c r="C13" t="s">
        <v>217</v>
      </c>
    </row>
    <row r="14" spans="1:3" x14ac:dyDescent="0.25">
      <c r="A14" t="s">
        <v>226</v>
      </c>
      <c r="B14" t="s">
        <v>227</v>
      </c>
      <c r="C14" t="s">
        <v>218</v>
      </c>
    </row>
    <row r="15" spans="1:3" x14ac:dyDescent="0.25">
      <c r="A15" t="s">
        <v>226</v>
      </c>
      <c r="B15" t="s">
        <v>228</v>
      </c>
      <c r="C15" t="s">
        <v>219</v>
      </c>
    </row>
    <row r="16" spans="1:3" x14ac:dyDescent="0.25">
      <c r="A16" t="s">
        <v>226</v>
      </c>
      <c r="B16" t="s">
        <v>227</v>
      </c>
      <c r="C16" t="s">
        <v>220</v>
      </c>
    </row>
    <row r="17" spans="1:3" x14ac:dyDescent="0.25">
      <c r="A17" t="s">
        <v>226</v>
      </c>
      <c r="B17" t="s">
        <v>228</v>
      </c>
      <c r="C17" t="s">
        <v>221</v>
      </c>
    </row>
    <row r="18" spans="1:3" x14ac:dyDescent="0.25">
      <c r="A18" t="s">
        <v>226</v>
      </c>
      <c r="B18" t="s">
        <v>227</v>
      </c>
      <c r="C18" t="s">
        <v>222</v>
      </c>
    </row>
    <row r="19" spans="1:3" x14ac:dyDescent="0.25">
      <c r="A19" t="s">
        <v>226</v>
      </c>
      <c r="B19" t="s">
        <v>228</v>
      </c>
      <c r="C19" t="s">
        <v>223</v>
      </c>
    </row>
    <row r="20" spans="1:3" x14ac:dyDescent="0.25">
      <c r="A20" t="s">
        <v>226</v>
      </c>
      <c r="B20" t="s">
        <v>227</v>
      </c>
      <c r="C20" t="s">
        <v>224</v>
      </c>
    </row>
    <row r="21" spans="1:3" x14ac:dyDescent="0.25">
      <c r="A21" t="s">
        <v>226</v>
      </c>
      <c r="B21" t="s">
        <v>228</v>
      </c>
      <c r="C2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2.571428571428573" customWidth="1"/>
    <col min="2" max="24" width="13.571428571428571" customWidth="1"/>
  </cols>
  <sheetData>
    <row r="1" spans="1:4" x14ac:dyDescent="0.25">
      <c r="A1" t="s">
        <v>229</v>
      </c>
      <c r="B1" t="s">
        <v>230</v>
      </c>
      <c r="C1" t="s">
        <v>35</v>
      </c>
      <c r="D1" t="s">
        <v>231</v>
      </c>
    </row>
    <row r="2" spans="1:2" x14ac:dyDescent="0.25">
      <c r="A2" t="s">
        <v>232</v>
      </c>
      <c r="B2" t="s">
        <v>233</v>
      </c>
    </row>
    <row r="3" spans="1:2" x14ac:dyDescent="0.25">
      <c r="A3" s="3" t="s">
        <v>215</v>
      </c>
      <c r="B3" t="s">
        <v>234</v>
      </c>
    </row>
    <row r="4" spans="1:2" x14ac:dyDescent="0.25">
      <c r="A4" s="3" t="s">
        <v>217</v>
      </c>
      <c r="B4" t="s">
        <v>235</v>
      </c>
    </row>
    <row r="5" spans="1:2" x14ac:dyDescent="0.25">
      <c r="A5" s="3" t="s">
        <v>218</v>
      </c>
      <c r="B5" t="s">
        <v>236</v>
      </c>
    </row>
    <row r="6" spans="1:2" x14ac:dyDescent="0.25">
      <c r="A6" s="3" t="s">
        <v>219</v>
      </c>
      <c r="B6" t="s">
        <v>237</v>
      </c>
    </row>
    <row r="7" spans="1:2" x14ac:dyDescent="0.25">
      <c r="A7" s="3" t="s">
        <v>220</v>
      </c>
      <c r="B7" t="s">
        <v>238</v>
      </c>
    </row>
    <row r="8" spans="1:2" x14ac:dyDescent="0.25">
      <c r="A8" s="3" t="s">
        <v>221</v>
      </c>
      <c r="B8" t="s">
        <v>239</v>
      </c>
    </row>
    <row r="9" spans="1:2" x14ac:dyDescent="0.25">
      <c r="A9" s="3" t="s">
        <v>222</v>
      </c>
      <c r="B9" t="s">
        <v>240</v>
      </c>
    </row>
    <row r="10" spans="1:2" x14ac:dyDescent="0.25">
      <c r="A10" s="3" t="s">
        <v>223</v>
      </c>
      <c r="B10" t="s">
        <v>241</v>
      </c>
    </row>
    <row r="11" spans="1:2" x14ac:dyDescent="0.25">
      <c r="A11" s="3" t="s">
        <v>224</v>
      </c>
      <c r="B11" t="s">
        <v>242</v>
      </c>
    </row>
    <row r="12" spans="1:2" x14ac:dyDescent="0.25">
      <c r="A12" s="3" t="s">
        <v>225</v>
      </c>
      <c r="B12" t="s">
        <v>243</v>
      </c>
    </row>
    <row r="13" spans="1:1" x14ac:dyDescent="0.25">
      <c r="A13" t="s">
        <v>244</v>
      </c>
    </row>
    <row r="14" spans="1:2" x14ac:dyDescent="0.25">
      <c r="A14" t="s">
        <v>245</v>
      </c>
      <c r="B14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obliczenia</vt:lpstr>
      <vt:lpstr>budynki_awers</vt:lpstr>
      <vt:lpstr>budynki_rewers</vt:lpstr>
      <vt:lpstr>budynki_woda</vt:lpstr>
      <vt:lpstr>budynki_podziemie</vt:lpstr>
      <vt:lpstr>Pandora</vt:lpstr>
      <vt:lpstr>RNG</vt:lpstr>
      <vt:lpstr>Chatka Proroka</vt:lpstr>
      <vt:lpstr>Artefakty</vt:lpstr>
      <vt:lpstr>Tygodnie</vt:lpstr>
      <vt:lpstr>BG City</vt:lpstr>
      <vt:lpstr>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2026-09-26T12:59:42Z</dcterms:created>
  <dcterms:modified xsi:type="dcterms:W3CDTF">2026-09-26T12:59:42Z</dcterms:modified>
</cp:coreProperties>
</file>